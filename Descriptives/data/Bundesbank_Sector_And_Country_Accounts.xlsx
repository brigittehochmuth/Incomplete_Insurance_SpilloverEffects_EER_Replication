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j64utag\FAUbox\05_TradeHartz (Brigitte Hochmuth)\"/>
    </mc:Choice>
  </mc:AlternateContent>
  <xr:revisionPtr revIDLastSave="0" documentId="13_ncr:1_{4E1EFF2A-5569-41F6-9F1F-758F674EB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nzierungssalden" sheetId="1" r:id="rId1"/>
    <sheet name="Ländergruppen" sheetId="2" r:id="rId2"/>
    <sheet name="Grafi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K37" i="1"/>
  <c r="K3" i="1"/>
  <c r="H26" i="3" l="1"/>
  <c r="H2" i="3"/>
  <c r="H1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H3" i="3"/>
  <c r="H4" i="3"/>
  <c r="I4" i="3" s="1"/>
  <c r="H5" i="3"/>
  <c r="H6" i="3"/>
  <c r="H7" i="3"/>
  <c r="H8" i="3"/>
  <c r="H9" i="3"/>
  <c r="I9" i="3" s="1"/>
  <c r="H10" i="3"/>
  <c r="H12" i="3"/>
  <c r="I12" i="3" s="1"/>
  <c r="H13" i="3"/>
  <c r="H14" i="3"/>
  <c r="H15" i="3"/>
  <c r="H16" i="3"/>
  <c r="H17" i="3"/>
  <c r="H18" i="3"/>
  <c r="I18" i="3" s="1"/>
  <c r="H19" i="3"/>
  <c r="H20" i="3"/>
  <c r="I20" i="3" s="1"/>
  <c r="H21" i="3"/>
  <c r="H22" i="3"/>
  <c r="H23" i="3"/>
  <c r="H24" i="3"/>
  <c r="H25" i="3"/>
  <c r="I10" i="3" l="1"/>
  <c r="I2" i="3"/>
  <c r="D2" i="3" s="1"/>
  <c r="I25" i="3"/>
  <c r="I17" i="3"/>
  <c r="I8" i="3"/>
  <c r="I26" i="3"/>
  <c r="I23" i="3"/>
  <c r="I15" i="3"/>
  <c r="I24" i="3"/>
  <c r="I16" i="3"/>
  <c r="I7" i="3"/>
  <c r="I22" i="3"/>
  <c r="I14" i="3"/>
  <c r="I5" i="3"/>
  <c r="I6" i="3"/>
  <c r="I21" i="3"/>
  <c r="I13" i="3"/>
  <c r="I3" i="3"/>
  <c r="I19" i="3"/>
  <c r="I11" i="3"/>
  <c r="O3" i="2"/>
  <c r="O17" i="1" l="1"/>
  <c r="T31" i="2"/>
  <c r="S31" i="2"/>
  <c r="R31" i="2"/>
  <c r="P31" i="2"/>
  <c r="Q31" i="2" s="1"/>
  <c r="O31" i="2"/>
  <c r="T30" i="2"/>
  <c r="S30" i="2"/>
  <c r="R30" i="2"/>
  <c r="P30" i="2"/>
  <c r="Q30" i="2" s="1"/>
  <c r="O30" i="2"/>
  <c r="T29" i="2"/>
  <c r="S29" i="2"/>
  <c r="R29" i="2"/>
  <c r="P29" i="2"/>
  <c r="O29" i="2"/>
  <c r="T28" i="2"/>
  <c r="S28" i="2"/>
  <c r="R28" i="2"/>
  <c r="P28" i="2"/>
  <c r="Q28" i="2" s="1"/>
  <c r="O28" i="2"/>
  <c r="T27" i="2"/>
  <c r="S27" i="2"/>
  <c r="R27" i="2"/>
  <c r="P27" i="2"/>
  <c r="Q27" i="2" s="1"/>
  <c r="O27" i="2"/>
  <c r="T26" i="2"/>
  <c r="S26" i="2"/>
  <c r="R26" i="2"/>
  <c r="P26" i="2"/>
  <c r="Q26" i="2" s="1"/>
  <c r="O26" i="2"/>
  <c r="T25" i="2"/>
  <c r="S25" i="2"/>
  <c r="R25" i="2"/>
  <c r="P25" i="2"/>
  <c r="O25" i="2"/>
  <c r="T24" i="2"/>
  <c r="S24" i="2"/>
  <c r="R24" i="2"/>
  <c r="P24" i="2"/>
  <c r="O24" i="2"/>
  <c r="T23" i="2"/>
  <c r="S23" i="2"/>
  <c r="R23" i="2"/>
  <c r="P23" i="2"/>
  <c r="Q23" i="2" s="1"/>
  <c r="O23" i="2"/>
  <c r="T22" i="2"/>
  <c r="S22" i="2"/>
  <c r="R22" i="2"/>
  <c r="P22" i="2"/>
  <c r="Q22" i="2" s="1"/>
  <c r="O22" i="2"/>
  <c r="T21" i="2"/>
  <c r="S21" i="2"/>
  <c r="R21" i="2"/>
  <c r="P21" i="2"/>
  <c r="Q21" i="2" s="1"/>
  <c r="O21" i="2"/>
  <c r="T20" i="2"/>
  <c r="S20" i="2"/>
  <c r="R20" i="2"/>
  <c r="P20" i="2"/>
  <c r="Q20" i="2" s="1"/>
  <c r="X20" i="2" s="1"/>
  <c r="O20" i="2"/>
  <c r="T19" i="2"/>
  <c r="S19" i="2"/>
  <c r="R19" i="2"/>
  <c r="P19" i="2"/>
  <c r="Q19" i="2" s="1"/>
  <c r="O19" i="2"/>
  <c r="T18" i="2"/>
  <c r="S18" i="2"/>
  <c r="R18" i="2"/>
  <c r="P18" i="2"/>
  <c r="Q18" i="2" s="1"/>
  <c r="X18" i="2" s="1"/>
  <c r="O18" i="2"/>
  <c r="T17" i="2"/>
  <c r="S17" i="2"/>
  <c r="R17" i="2"/>
  <c r="P17" i="2"/>
  <c r="Q17" i="2" s="1"/>
  <c r="O17" i="2"/>
  <c r="T16" i="2"/>
  <c r="S16" i="2"/>
  <c r="R16" i="2"/>
  <c r="P16" i="2"/>
  <c r="O16" i="2"/>
  <c r="T15" i="2"/>
  <c r="S15" i="2"/>
  <c r="R15" i="2"/>
  <c r="P15" i="2"/>
  <c r="Q15" i="2" s="1"/>
  <c r="O15" i="2"/>
  <c r="T14" i="2"/>
  <c r="S14" i="2"/>
  <c r="R14" i="2"/>
  <c r="P14" i="2"/>
  <c r="Q14" i="2" s="1"/>
  <c r="O14" i="2"/>
  <c r="T13" i="2"/>
  <c r="S13" i="2"/>
  <c r="R13" i="2"/>
  <c r="P13" i="2"/>
  <c r="Q13" i="2" s="1"/>
  <c r="O13" i="2"/>
  <c r="T12" i="2"/>
  <c r="S12" i="2"/>
  <c r="R12" i="2"/>
  <c r="P12" i="2"/>
  <c r="Q12" i="2" s="1"/>
  <c r="O12" i="2"/>
  <c r="T11" i="2"/>
  <c r="S11" i="2"/>
  <c r="R11" i="2"/>
  <c r="P11" i="2"/>
  <c r="Q11" i="2" s="1"/>
  <c r="O11" i="2"/>
  <c r="T10" i="2"/>
  <c r="S10" i="2"/>
  <c r="R10" i="2"/>
  <c r="P10" i="2"/>
  <c r="Q10" i="2" s="1"/>
  <c r="O10" i="2"/>
  <c r="T9" i="2"/>
  <c r="S9" i="2"/>
  <c r="R9" i="2"/>
  <c r="P9" i="2"/>
  <c r="Q9" i="2" s="1"/>
  <c r="O9" i="2"/>
  <c r="T8" i="2"/>
  <c r="S8" i="2"/>
  <c r="R8" i="2"/>
  <c r="P8" i="2"/>
  <c r="O8" i="2"/>
  <c r="T7" i="2"/>
  <c r="S7" i="2"/>
  <c r="R7" i="2"/>
  <c r="P7" i="2"/>
  <c r="Q7" i="2" s="1"/>
  <c r="O7" i="2"/>
  <c r="T6" i="2"/>
  <c r="S6" i="2"/>
  <c r="R6" i="2"/>
  <c r="P6" i="2"/>
  <c r="Q6" i="2" s="1"/>
  <c r="O6" i="2"/>
  <c r="T5" i="2"/>
  <c r="S5" i="2"/>
  <c r="R5" i="2"/>
  <c r="P5" i="2"/>
  <c r="Q5" i="2" s="1"/>
  <c r="O5" i="2"/>
  <c r="T4" i="2"/>
  <c r="S4" i="2"/>
  <c r="R4" i="2"/>
  <c r="P4" i="2"/>
  <c r="Q4" i="2" s="1"/>
  <c r="X4" i="2" s="1"/>
  <c r="O4" i="2"/>
  <c r="T3" i="2"/>
  <c r="S3" i="2"/>
  <c r="R3" i="2"/>
  <c r="P3" i="2"/>
  <c r="Q3" i="2" s="1"/>
  <c r="K4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Q29" i="1" s="1"/>
  <c r="R29" i="1" s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Q23" i="1" s="1"/>
  <c r="O22" i="1"/>
  <c r="N22" i="1"/>
  <c r="M22" i="1"/>
  <c r="L22" i="1"/>
  <c r="K22" i="1"/>
  <c r="O21" i="1"/>
  <c r="N21" i="1"/>
  <c r="M21" i="1"/>
  <c r="L21" i="1"/>
  <c r="K21" i="1"/>
  <c r="Q21" i="1" s="1"/>
  <c r="R21" i="1" s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N17" i="1"/>
  <c r="M17" i="1"/>
  <c r="L17" i="1"/>
  <c r="K17" i="1"/>
  <c r="O16" i="1"/>
  <c r="N16" i="1"/>
  <c r="M16" i="1"/>
  <c r="L16" i="1"/>
  <c r="K16" i="1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Q10" i="1" s="1"/>
  <c r="O9" i="1"/>
  <c r="N9" i="1"/>
  <c r="M9" i="1"/>
  <c r="L9" i="1"/>
  <c r="K9" i="1"/>
  <c r="O8" i="1"/>
  <c r="N8" i="1"/>
  <c r="M8" i="1"/>
  <c r="L8" i="1"/>
  <c r="K8" i="1"/>
  <c r="Q8" i="1" s="1"/>
  <c r="R8" i="1" s="1"/>
  <c r="O7" i="1"/>
  <c r="N7" i="1"/>
  <c r="M7" i="1"/>
  <c r="L7" i="1"/>
  <c r="K7" i="1"/>
  <c r="O6" i="1"/>
  <c r="N6" i="1"/>
  <c r="M6" i="1"/>
  <c r="L6" i="1"/>
  <c r="K6" i="1"/>
  <c r="O5" i="1"/>
  <c r="N5" i="1"/>
  <c r="M5" i="1"/>
  <c r="L5" i="1"/>
  <c r="K5" i="1"/>
  <c r="O4" i="1"/>
  <c r="N4" i="1"/>
  <c r="M4" i="1"/>
  <c r="L4" i="1"/>
  <c r="O3" i="1"/>
  <c r="N3" i="1"/>
  <c r="M3" i="1"/>
  <c r="L3" i="1"/>
  <c r="Q5" i="1" l="1"/>
  <c r="R5" i="1" s="1"/>
  <c r="Q13" i="1"/>
  <c r="Q18" i="1"/>
  <c r="T10" i="1"/>
  <c r="Q16" i="1"/>
  <c r="R16" i="1" s="1"/>
  <c r="R13" i="1"/>
  <c r="R18" i="1"/>
  <c r="Q26" i="1"/>
  <c r="R26" i="1" s="1"/>
  <c r="R10" i="1"/>
  <c r="R23" i="1"/>
  <c r="Q31" i="1"/>
  <c r="R31" i="1" s="1"/>
  <c r="Q7" i="1"/>
  <c r="Q15" i="1"/>
  <c r="R15" i="1" s="1"/>
  <c r="Q20" i="1"/>
  <c r="T14" i="1"/>
  <c r="Q14" i="1"/>
  <c r="R14" i="1" s="1"/>
  <c r="T11" i="1"/>
  <c r="Q11" i="1"/>
  <c r="R11" i="1" s="1"/>
  <c r="T24" i="1"/>
  <c r="Q24" i="1"/>
  <c r="R24" i="1" s="1"/>
  <c r="R3" i="1"/>
  <c r="Y18" i="2"/>
  <c r="U26" i="2"/>
  <c r="T4" i="1"/>
  <c r="Q4" i="1"/>
  <c r="R4" i="1" s="1"/>
  <c r="T19" i="1"/>
  <c r="Q19" i="1"/>
  <c r="R19" i="1" s="1"/>
  <c r="T6" i="1"/>
  <c r="Q6" i="1"/>
  <c r="R6" i="1" s="1"/>
  <c r="T27" i="1"/>
  <c r="Q27" i="1"/>
  <c r="R27" i="1" s="1"/>
  <c r="R7" i="1"/>
  <c r="R20" i="1"/>
  <c r="Q28" i="1"/>
  <c r="R28" i="1" s="1"/>
  <c r="U19" i="2"/>
  <c r="T12" i="1"/>
  <c r="Q12" i="1"/>
  <c r="R12" i="1" s="1"/>
  <c r="T25" i="1"/>
  <c r="Q25" i="1"/>
  <c r="R25" i="1" s="1"/>
  <c r="X5" i="2"/>
  <c r="Y5" i="2" s="1"/>
  <c r="T9" i="1"/>
  <c r="Q9" i="1"/>
  <c r="R9" i="1" s="1"/>
  <c r="T17" i="1"/>
  <c r="Q17" i="1"/>
  <c r="R17" i="1" s="1"/>
  <c r="T22" i="1"/>
  <c r="Q22" i="1"/>
  <c r="R22" i="1" s="1"/>
  <c r="T30" i="1"/>
  <c r="Q30" i="1"/>
  <c r="R30" i="1" s="1"/>
  <c r="X21" i="2"/>
  <c r="Y21" i="2" s="1"/>
  <c r="T8" i="1"/>
  <c r="T16" i="1"/>
  <c r="T21" i="1"/>
  <c r="U15" i="2"/>
  <c r="T18" i="1"/>
  <c r="T26" i="1"/>
  <c r="T29" i="1"/>
  <c r="U10" i="2"/>
  <c r="U3" i="2"/>
  <c r="K38" i="1"/>
  <c r="L38" i="1" s="1"/>
  <c r="U30" i="2"/>
  <c r="X30" i="2"/>
  <c r="U6" i="2"/>
  <c r="X6" i="2"/>
  <c r="Y6" i="2" s="1"/>
  <c r="U14" i="2"/>
  <c r="X14" i="2"/>
  <c r="Y14" i="2" s="1"/>
  <c r="U22" i="2"/>
  <c r="X22" i="2"/>
  <c r="Y22" i="2" s="1"/>
  <c r="Y30" i="2"/>
  <c r="U12" i="2"/>
  <c r="Q16" i="2"/>
  <c r="X16" i="2" s="1"/>
  <c r="Y16" i="2" s="1"/>
  <c r="U11" i="2"/>
  <c r="U27" i="2"/>
  <c r="X26" i="2"/>
  <c r="Y26" i="2" s="1"/>
  <c r="X10" i="2"/>
  <c r="Y10" i="2" s="1"/>
  <c r="W5" i="1"/>
  <c r="T13" i="1"/>
  <c r="U4" i="2"/>
  <c r="Q8" i="2"/>
  <c r="X8" i="2" s="1"/>
  <c r="U20" i="2"/>
  <c r="Q24" i="2"/>
  <c r="X24" i="2" s="1"/>
  <c r="Y24" i="2" s="1"/>
  <c r="X17" i="2"/>
  <c r="Y17" i="2" s="1"/>
  <c r="X9" i="2"/>
  <c r="Y9" i="2" s="1"/>
  <c r="U18" i="2"/>
  <c r="T23" i="1"/>
  <c r="T31" i="1"/>
  <c r="U7" i="2"/>
  <c r="U23" i="2"/>
  <c r="T7" i="1"/>
  <c r="T15" i="1"/>
  <c r="T20" i="1"/>
  <c r="T28" i="1"/>
  <c r="U13" i="2"/>
  <c r="U16" i="2"/>
  <c r="X31" i="2"/>
  <c r="Y31" i="2" s="1"/>
  <c r="X23" i="2"/>
  <c r="Y23" i="2" s="1"/>
  <c r="X15" i="2"/>
  <c r="Y15" i="2" s="1"/>
  <c r="X7" i="2"/>
  <c r="Y7" i="2" s="1"/>
  <c r="Y20" i="2"/>
  <c r="Y4" i="2"/>
  <c r="X13" i="2"/>
  <c r="Y13" i="2" s="1"/>
  <c r="X28" i="2"/>
  <c r="Y28" i="2" s="1"/>
  <c r="X12" i="2"/>
  <c r="Y12" i="2" s="1"/>
  <c r="W4" i="1"/>
  <c r="U5" i="2"/>
  <c r="U8" i="2"/>
  <c r="U21" i="2"/>
  <c r="X27" i="2"/>
  <c r="Y27" i="2" s="1"/>
  <c r="X19" i="2"/>
  <c r="Y19" i="2" s="1"/>
  <c r="X11" i="2"/>
  <c r="Y11" i="2" s="1"/>
  <c r="X3" i="2"/>
  <c r="Y3" i="2" s="1"/>
  <c r="T5" i="1"/>
  <c r="T3" i="1"/>
  <c r="V31" i="1"/>
  <c r="U9" i="2"/>
  <c r="U17" i="2"/>
  <c r="U28" i="2"/>
  <c r="U31" i="2"/>
  <c r="Q25" i="2"/>
  <c r="U25" i="2" s="1"/>
  <c r="Q29" i="2"/>
  <c r="Y5" i="1"/>
  <c r="X6" i="1"/>
  <c r="V7" i="1"/>
  <c r="Z8" i="1"/>
  <c r="Y9" i="1"/>
  <c r="X10" i="1"/>
  <c r="V11" i="1"/>
  <c r="Z12" i="1"/>
  <c r="Y13" i="1"/>
  <c r="X14" i="1"/>
  <c r="V15" i="1"/>
  <c r="Z16" i="1"/>
  <c r="Y17" i="1"/>
  <c r="X18" i="1"/>
  <c r="V19" i="1"/>
  <c r="Z20" i="1"/>
  <c r="Y21" i="1"/>
  <c r="X22" i="1"/>
  <c r="V23" i="1"/>
  <c r="Z24" i="1"/>
  <c r="Y25" i="1"/>
  <c r="X26" i="1"/>
  <c r="V27" i="1"/>
  <c r="Z28" i="1"/>
  <c r="Y29" i="1"/>
  <c r="V4" i="1"/>
  <c r="X7" i="1"/>
  <c r="AC7" i="1" s="1"/>
  <c r="X11" i="1"/>
  <c r="X15" i="1"/>
  <c r="X19" i="1"/>
  <c r="X23" i="1"/>
  <c r="X27" i="1"/>
  <c r="V28" i="1"/>
  <c r="AE28" i="1" s="1"/>
  <c r="Z29" i="1"/>
  <c r="X31" i="1"/>
  <c r="V18" i="1"/>
  <c r="Y4" i="1"/>
  <c r="Z4" i="1"/>
  <c r="Z6" i="1"/>
  <c r="Y7" i="1"/>
  <c r="W9" i="1"/>
  <c r="Y11" i="1"/>
  <c r="X12" i="1"/>
  <c r="W13" i="1"/>
  <c r="V13" i="1"/>
  <c r="Z14" i="1"/>
  <c r="Y15" i="1"/>
  <c r="X16" i="1"/>
  <c r="W17" i="1"/>
  <c r="Z18" i="1"/>
  <c r="Y19" i="1"/>
  <c r="X20" i="1"/>
  <c r="W21" i="1"/>
  <c r="V21" i="1"/>
  <c r="Z22" i="1"/>
  <c r="Y23" i="1"/>
  <c r="X24" i="1"/>
  <c r="W25" i="1"/>
  <c r="V25" i="1"/>
  <c r="Z26" i="1"/>
  <c r="Y27" i="1"/>
  <c r="X28" i="1"/>
  <c r="W29" i="1"/>
  <c r="V29" i="1"/>
  <c r="Z30" i="1"/>
  <c r="Y31" i="1"/>
  <c r="V5" i="1"/>
  <c r="X8" i="1"/>
  <c r="Z10" i="1"/>
  <c r="X30" i="1"/>
  <c r="W31" i="1"/>
  <c r="V17" i="1"/>
  <c r="Y24" i="1"/>
  <c r="Y20" i="1"/>
  <c r="Y16" i="1"/>
  <c r="Y8" i="1"/>
  <c r="V14" i="1"/>
  <c r="V22" i="1"/>
  <c r="W7" i="1"/>
  <c r="W8" i="1"/>
  <c r="W11" i="1"/>
  <c r="W12" i="1"/>
  <c r="W15" i="1"/>
  <c r="W16" i="1"/>
  <c r="W19" i="1"/>
  <c r="W20" i="1"/>
  <c r="W23" i="1"/>
  <c r="W24" i="1"/>
  <c r="W27" i="1"/>
  <c r="W28" i="1"/>
  <c r="Y30" i="1"/>
  <c r="Y26" i="1"/>
  <c r="Y22" i="1"/>
  <c r="Y18" i="1"/>
  <c r="Y14" i="1"/>
  <c r="Y10" i="1"/>
  <c r="Y6" i="1"/>
  <c r="X4" i="1"/>
  <c r="V9" i="1"/>
  <c r="V10" i="1"/>
  <c r="V6" i="1"/>
  <c r="Y28" i="1"/>
  <c r="Y12" i="1"/>
  <c r="V30" i="1"/>
  <c r="Z5" i="1"/>
  <c r="V8" i="1"/>
  <c r="Z9" i="1"/>
  <c r="AE9" i="1" s="1"/>
  <c r="V12" i="1"/>
  <c r="Z13" i="1"/>
  <c r="AE13" i="1" s="1"/>
  <c r="V16" i="1"/>
  <c r="Z17" i="1"/>
  <c r="V20" i="1"/>
  <c r="Z21" i="1"/>
  <c r="V24" i="1"/>
  <c r="Z25" i="1"/>
  <c r="V26" i="1"/>
  <c r="X29" i="1"/>
  <c r="X25" i="1"/>
  <c r="X21" i="1"/>
  <c r="AC21" i="1" s="1"/>
  <c r="X17" i="1"/>
  <c r="X13" i="1"/>
  <c r="X9" i="1"/>
  <c r="X5" i="1"/>
  <c r="W6" i="1"/>
  <c r="Z7" i="1"/>
  <c r="W10" i="1"/>
  <c r="Z11" i="1"/>
  <c r="AE11" i="1" s="1"/>
  <c r="W14" i="1"/>
  <c r="Z15" i="1"/>
  <c r="W18" i="1"/>
  <c r="Z19" i="1"/>
  <c r="W22" i="1"/>
  <c r="Z23" i="1"/>
  <c r="W26" i="1"/>
  <c r="Z27" i="1"/>
  <c r="AE27" i="1" s="1"/>
  <c r="W30" i="1"/>
  <c r="Z31" i="1"/>
  <c r="AE19" i="1" l="1"/>
  <c r="AD9" i="1"/>
  <c r="AD25" i="1"/>
  <c r="AD19" i="1"/>
  <c r="AC23" i="1"/>
  <c r="AE21" i="1"/>
  <c r="AB17" i="1"/>
  <c r="AB14" i="1"/>
  <c r="AD17" i="1"/>
  <c r="AD29" i="1"/>
  <c r="AC30" i="1"/>
  <c r="AC27" i="1"/>
  <c r="AB4" i="1"/>
  <c r="AC26" i="1"/>
  <c r="AC11" i="1"/>
  <c r="AC16" i="1"/>
  <c r="AD28" i="1"/>
  <c r="U24" i="2"/>
  <c r="AC29" i="1"/>
  <c r="AB19" i="1"/>
  <c r="AD27" i="1"/>
  <c r="AC9" i="1"/>
  <c r="AD11" i="1"/>
  <c r="AE29" i="1"/>
  <c r="Y8" i="2"/>
  <c r="AB23" i="1"/>
  <c r="AB29" i="1"/>
  <c r="AD15" i="1"/>
  <c r="U29" i="2"/>
  <c r="X29" i="2"/>
  <c r="Y29" i="2" s="1"/>
  <c r="AC28" i="1"/>
  <c r="AD21" i="1"/>
  <c r="AB7" i="1"/>
  <c r="AC14" i="1"/>
  <c r="AB13" i="1"/>
  <c r="AC10" i="1"/>
  <c r="X25" i="2"/>
  <c r="Y25" i="2" s="1"/>
  <c r="AB6" i="1"/>
  <c r="AB28" i="1"/>
  <c r="AD5" i="1"/>
  <c r="AC6" i="1"/>
  <c r="AE10" i="1"/>
  <c r="AD13" i="1"/>
  <c r="AB31" i="1"/>
  <c r="AC12" i="1"/>
  <c r="AE6" i="1"/>
  <c r="AC18" i="1"/>
  <c r="AE31" i="1"/>
  <c r="AC13" i="1"/>
  <c r="AC4" i="1"/>
  <c r="AD31" i="1"/>
  <c r="AE14" i="1"/>
  <c r="AE4" i="1"/>
  <c r="AC31" i="1"/>
  <c r="AD7" i="1"/>
  <c r="AE20" i="1"/>
  <c r="AE18" i="1"/>
  <c r="AB26" i="1"/>
  <c r="AB18" i="1"/>
  <c r="AD14" i="1"/>
  <c r="AB27" i="1"/>
  <c r="AB11" i="1"/>
  <c r="AC19" i="1"/>
  <c r="AC5" i="1"/>
  <c r="AE12" i="1"/>
  <c r="AB10" i="1"/>
  <c r="AE23" i="1"/>
  <c r="AE15" i="1"/>
  <c r="AE7" i="1"/>
  <c r="AE24" i="1"/>
  <c r="AE8" i="1"/>
  <c r="AD18" i="1"/>
  <c r="AB15" i="1"/>
  <c r="AD23" i="1"/>
  <c r="AD4" i="1"/>
  <c r="AC15" i="1"/>
  <c r="AC25" i="1"/>
  <c r="AE25" i="1"/>
  <c r="AE17" i="1"/>
  <c r="AD12" i="1"/>
  <c r="AD10" i="1"/>
  <c r="AD26" i="1"/>
  <c r="AB20" i="1"/>
  <c r="AB8" i="1"/>
  <c r="AD16" i="1"/>
  <c r="AE26" i="1"/>
  <c r="AB25" i="1"/>
  <c r="AB5" i="1"/>
  <c r="AE22" i="1"/>
  <c r="AD20" i="1"/>
  <c r="AC20" i="1"/>
  <c r="AB21" i="1"/>
  <c r="AC17" i="1"/>
  <c r="AE5" i="1"/>
  <c r="AC22" i="1"/>
  <c r="AB12" i="1"/>
  <c r="AC8" i="1"/>
  <c r="AC24" i="1"/>
  <c r="AB9" i="1"/>
  <c r="AD30" i="1"/>
  <c r="AE16" i="1"/>
  <c r="AB30" i="1"/>
  <c r="AB22" i="1"/>
  <c r="AB24" i="1"/>
  <c r="AB16" i="1"/>
  <c r="AD24" i="1"/>
  <c r="AD6" i="1"/>
  <c r="AD22" i="1"/>
  <c r="AD8" i="1"/>
  <c r="AE30" i="1"/>
  <c r="X35" i="2" l="1"/>
</calcChain>
</file>

<file path=xl/sharedStrings.xml><?xml version="1.0" encoding="utf-8"?>
<sst xmlns="http://schemas.openxmlformats.org/spreadsheetml/2006/main" count="71" uniqueCount="67">
  <si>
    <t>Private Haushalte und private Organisationen ohne Erwerbszweck</t>
  </si>
  <si>
    <t>Staat</t>
  </si>
  <si>
    <t>Nichtfinanzielle Kapitalgesellschaften</t>
  </si>
  <si>
    <t>Finanzielle Kapitalgesellschaften</t>
  </si>
  <si>
    <t>Finanzierungssaldo</t>
  </si>
  <si>
    <t>1) Sondereffekt vor allem durch Übernahme der Treuhandschulden durch den Staat.</t>
  </si>
  <si>
    <t>BBNZ1:Q:DE:N:G:0330:A</t>
  </si>
  <si>
    <t>BBNZ1:Q:DE:N:G:0519:A</t>
  </si>
  <si>
    <t>BBNZ1:A:DE:N:G:0561:A</t>
  </si>
  <si>
    <t>BBNZ1:A:DE:N:G:0596:A</t>
  </si>
  <si>
    <t>BBNZ1:Q:DE:N:G:0232:A</t>
  </si>
  <si>
    <t>BBNZ1:A:DE:N:G:0000:A</t>
  </si>
  <si>
    <t>Deutschland / Konto der privaten Haushalte / Finanzierungssaldo / In jeweiligen Preisen</t>
  </si>
  <si>
    <t>Deutschland / Konto des Staates / Finanzierungssaldo / In jeweiligen Preisen</t>
  </si>
  <si>
    <t>Deutschland / Konto der nichtfinanziellen Kapitalgesellschaften / Finanzierungssaldo / In jeweiligen Preisen</t>
  </si>
  <si>
    <t>Deutschland / Konto der finanziellen Kapitalgesellschaften / Finanzierungssaldo / In jeweiligen Preisen</t>
  </si>
  <si>
    <t>Deutschland / Verteilung des Bruttoinlandsprodukts / Finanzierungssaldo der Gesamtwirtschaft / In jeweiligen Preisen</t>
  </si>
  <si>
    <t>Deutschland / Gesamtwirtschaftliche Übersicht / Bruttoinlandsprodukt / In jeweiligen Preisen</t>
  </si>
  <si>
    <t>Sondereffekte Fußnote 1)</t>
  </si>
  <si>
    <t>Veränderung Finanzierungssaldo</t>
  </si>
  <si>
    <t>Privat</t>
  </si>
  <si>
    <t>Nichtfinanzielle Kapitalgesellshaften</t>
  </si>
  <si>
    <t>Anteil Privat</t>
  </si>
  <si>
    <t xml:space="preserve"> Anteil Staat</t>
  </si>
  <si>
    <t>Anteil Nichtfinanziell</t>
  </si>
  <si>
    <t>Anteil Finanziell</t>
  </si>
  <si>
    <t>BBNZ1:Q:DE:N:G:0000:A!EE!</t>
  </si>
  <si>
    <t>BBFBA.Q.N.DE.A1.S1.S1.T.B.CA._Z._Z._Z._T._X.N!EE!</t>
  </si>
  <si>
    <t>BBFBA.Q.N.DE.ES.S1.S1.T.B.CA._Z._Z._Z._T._X.N!EE!</t>
  </si>
  <si>
    <t>BBFBA.Q.N.DE.GR.S1.S1.T.B.CA._Z._Z._Z._T._X.N!EE!</t>
  </si>
  <si>
    <t>BBFBA.Q.N.DE.IE.S1.S1.T.B.CA._Z._Z._Z._T._X.N!EE!</t>
  </si>
  <si>
    <t>BBFBA.Q.N.DE.IT.S1.S1.T.B.CA._Z._Z._Z._T._X.N!EE!</t>
  </si>
  <si>
    <t>BBFBA.Q.N.DE.K9.S1.S1.T.B.CA._Z._Z._Z._T._X.N!EE!</t>
  </si>
  <si>
    <t>BBFBA.Q.N.DE.PT.S1.S1.T.B.CA._Z._Z._Z._T._X.N!EE!</t>
  </si>
  <si>
    <t>BBFBA.Q.N.DE.S1.S1.S1.T.B.CA._Z._Z._Z._T._X.N!EE!</t>
  </si>
  <si>
    <t>BBFBA.Q.N.DE.I8.S1.S1.T.B.CA._Z._Z._Z._T._X.N!EE!</t>
  </si>
  <si>
    <t>BBFBA.Q.N.DE.W1.S1.S1.T.B.CA._Z._Z._Z._T._X.N!EE!</t>
  </si>
  <si>
    <t>Leistungsbilanz / Saldo / Amerika</t>
  </si>
  <si>
    <t>Leistungsbilanz / Saldo / Spanien</t>
  </si>
  <si>
    <t>Leistungsbilanz / Saldo / Griechenland</t>
  </si>
  <si>
    <t>Leistungsbilanz / Saldo / Irland</t>
  </si>
  <si>
    <t>Leistungsbilanz / Saldo / Italien</t>
  </si>
  <si>
    <t>Leistungsbilanz / Saldo / Andere EU-Länder (einschl. GB)</t>
  </si>
  <si>
    <t>Leistungsbilanz / Saldo / Portugal</t>
  </si>
  <si>
    <t>Leistungsbilanz / Saldo / Asien</t>
  </si>
  <si>
    <t>Leistungsbilanz / Saldo / Euroraum (19)</t>
  </si>
  <si>
    <t>Leistungsbilanz / Saldo / Alle Länder</t>
  </si>
  <si>
    <t>Insgesamt</t>
  </si>
  <si>
    <t>Griechenland, Irland, Italien, Portugal, Spanien</t>
  </si>
  <si>
    <t>Übrige Euroländer</t>
  </si>
  <si>
    <t>Übrige EU-Länder</t>
  </si>
  <si>
    <t>Nord- und Südamerika</t>
  </si>
  <si>
    <t>Asien</t>
  </si>
  <si>
    <t>Rest der Welt</t>
  </si>
  <si>
    <t>Eurozone</t>
  </si>
  <si>
    <t>Haushalte und finanzielle Kapitalgesellschaften</t>
  </si>
  <si>
    <t>Korrelation private Erparnisse &amp; Leistungsbilanz Eurozone</t>
  </si>
  <si>
    <t>Bis 2004</t>
  </si>
  <si>
    <t>Ab 2005</t>
  </si>
  <si>
    <t>Rest of World</t>
  </si>
  <si>
    <t>Germany</t>
  </si>
  <si>
    <t>Households' Contribution to German Current Account (in % of GDP)</t>
  </si>
  <si>
    <t>Current Account Surplus relative to Eurozone (in % of GDP)</t>
  </si>
  <si>
    <t>Relative Unit Labor Costs: Germany Rest of Eurozone (Relative to 2005)</t>
  </si>
  <si>
    <t>Euro</t>
  </si>
  <si>
    <t>Staat und private HH</t>
  </si>
  <si>
    <t>Private HH, finanzielle Firmen und Staat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</si>
</sst>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190DA"/>
      <name val="Helvetica"/>
      <family val="2"/>
    </font>
    <font>
      <sz val="11"/>
      <color rgb="FFE5292F"/>
      <name val="Helvetic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ck">
        <color rgb="FF1190DA"/>
      </left>
      <right/>
      <top/>
      <bottom style="medium">
        <color rgb="FFDDDDDD"/>
      </bottom>
      <diagonal/>
    </border>
    <border>
      <left style="thick">
        <color rgb="FFE5292F"/>
      </left>
      <right/>
      <top/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2" fontId="0" fillId="2" borderId="0" xfId="0" applyNumberFormat="1" applyFill="1"/>
    <xf numFmtId="0" fontId="1" fillId="3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2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Finanzierungssalden!$K$2</c:f>
              <c:strCache>
                <c:ptCount val="1"/>
                <c:pt idx="0">
                  <c:v>Private Haushalte und private Organisationen ohne Erwerbszweck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Finanzierungssalden!$J$3:$J$31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Finanzierungssalden!$K$3:$K$31</c:f>
              <c:numCache>
                <c:formatCode>0.00</c:formatCode>
                <c:ptCount val="29"/>
                <c:pt idx="0">
                  <c:v>4.819649388321352</c:v>
                </c:pt>
                <c:pt idx="1">
                  <c:v>4.6420220203753102</c:v>
                </c:pt>
                <c:pt idx="2">
                  <c:v>4.1384667226382001</c:v>
                </c:pt>
                <c:pt idx="3">
                  <c:v>2.8334836435188984</c:v>
                </c:pt>
                <c:pt idx="4">
                  <c:v>2.9974506626693622</c:v>
                </c:pt>
                <c:pt idx="5">
                  <c:v>3.2127949702817764</c:v>
                </c:pt>
                <c:pt idx="6">
                  <c:v>3.2032225989852892</c:v>
                </c:pt>
                <c:pt idx="7">
                  <c:v>3.3776471639479353</c:v>
                </c:pt>
                <c:pt idx="8">
                  <c:v>3.371724901431429</c:v>
                </c:pt>
                <c:pt idx="9">
                  <c:v>3.5735791265427266</c:v>
                </c:pt>
                <c:pt idx="10">
                  <c:v>4.4786287018881126</c:v>
                </c:pt>
                <c:pt idx="11">
                  <c:v>4.6062089421869601</c:v>
                </c:pt>
                <c:pt idx="12">
                  <c:v>5.6566149839254463</c:v>
                </c:pt>
                <c:pt idx="13">
                  <c:v>5.896080476636671</c:v>
                </c:pt>
                <c:pt idx="14">
                  <c:v>6.3234439389767987</c:v>
                </c:pt>
                <c:pt idx="15">
                  <c:v>5.735656665604508</c:v>
                </c:pt>
                <c:pt idx="16">
                  <c:v>5.4489808165469782</c:v>
                </c:pt>
                <c:pt idx="17">
                  <c:v>5.3799543685622178</c:v>
                </c:pt>
                <c:pt idx="18">
                  <c:v>6.1903807861047619</c:v>
                </c:pt>
                <c:pt idx="19">
                  <c:v>5.794727811573857</c:v>
                </c:pt>
                <c:pt idx="20">
                  <c:v>4.6778241435126748</c:v>
                </c:pt>
                <c:pt idx="21">
                  <c:v>4.9466180504205353</c:v>
                </c:pt>
                <c:pt idx="22">
                  <c:v>4.7272662599818593</c:v>
                </c:pt>
                <c:pt idx="23">
                  <c:v>4.895078618446898</c:v>
                </c:pt>
                <c:pt idx="24">
                  <c:v>5.2573042866996476</c:v>
                </c:pt>
                <c:pt idx="25">
                  <c:v>5.2231900705146614</c:v>
                </c:pt>
                <c:pt idx="26">
                  <c:v>5.4453172428882679</c:v>
                </c:pt>
                <c:pt idx="27">
                  <c:v>5.654278683279661</c:v>
                </c:pt>
                <c:pt idx="28">
                  <c:v>5.6008220749240953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A-4864-A888-ED427C6B6231}"/>
            </c:ext>
          </c:extLst>
        </c:ser>
        <c:ser>
          <c:idx val="1"/>
          <c:order val="1"/>
          <c:tx>
            <c:strRef>
              <c:f>Finanzierungssalden!$M$2</c:f>
              <c:strCache>
                <c:ptCount val="1"/>
                <c:pt idx="0">
                  <c:v>Nichtfinanzielle Kapitalgesellschaften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Finanzierungssalden!$J$3:$J$31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Finanzierungssalden!$M$3:$M$31</c:f>
              <c:numCache>
                <c:formatCode>0.00</c:formatCode>
                <c:ptCount val="29"/>
                <c:pt idx="0">
                  <c:v>-3.4181485685458446</c:v>
                </c:pt>
                <c:pt idx="1">
                  <c:v>-3.6122698377260494</c:v>
                </c:pt>
                <c:pt idx="2">
                  <c:v>-2.48102393639806</c:v>
                </c:pt>
                <c:pt idx="3">
                  <c:v>-1.856740728594463</c:v>
                </c:pt>
                <c:pt idx="4">
                  <c:v>4.8214144335773588</c:v>
                </c:pt>
                <c:pt idx="5">
                  <c:v>-0.77142470515983297</c:v>
                </c:pt>
                <c:pt idx="6">
                  <c:v>-0.82018203605027673</c:v>
                </c:pt>
                <c:pt idx="7">
                  <c:v>-0.95044727514619587</c:v>
                </c:pt>
                <c:pt idx="8">
                  <c:v>-3.7195796997300286</c:v>
                </c:pt>
                <c:pt idx="9">
                  <c:v>-4.0960319379448</c:v>
                </c:pt>
                <c:pt idx="10">
                  <c:v>-2.0981431872370586</c:v>
                </c:pt>
                <c:pt idx="11">
                  <c:v>0.8797517878914709</c:v>
                </c:pt>
                <c:pt idx="12">
                  <c:v>-0.83904194757570405</c:v>
                </c:pt>
                <c:pt idx="13">
                  <c:v>1.294220603574775</c:v>
                </c:pt>
                <c:pt idx="14">
                  <c:v>0.89646944688438179</c:v>
                </c:pt>
                <c:pt idx="15">
                  <c:v>0.45843326010029012</c:v>
                </c:pt>
                <c:pt idx="16">
                  <c:v>0.37778800184033123</c:v>
                </c:pt>
                <c:pt idx="17">
                  <c:v>-0.48576668276726009</c:v>
                </c:pt>
                <c:pt idx="18">
                  <c:v>2.8351044473429199</c:v>
                </c:pt>
                <c:pt idx="19">
                  <c:v>3.175830603649977</c:v>
                </c:pt>
                <c:pt idx="20">
                  <c:v>1.9786082359405397</c:v>
                </c:pt>
                <c:pt idx="21">
                  <c:v>2.3871985313134036</c:v>
                </c:pt>
                <c:pt idx="22">
                  <c:v>2.5895388336564285</c:v>
                </c:pt>
                <c:pt idx="23">
                  <c:v>1.460325268238694</c:v>
                </c:pt>
                <c:pt idx="24">
                  <c:v>2.2404762926269033</c:v>
                </c:pt>
                <c:pt idx="25">
                  <c:v>2.2783574231836896</c:v>
                </c:pt>
                <c:pt idx="26">
                  <c:v>1.6839189026776662</c:v>
                </c:pt>
                <c:pt idx="27">
                  <c:v>0.22309134455816793</c:v>
                </c:pt>
                <c:pt idx="28">
                  <c:v>0.47505101580398279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A-4864-A888-ED427C6B6231}"/>
            </c:ext>
          </c:extLst>
        </c:ser>
        <c:ser>
          <c:idx val="2"/>
          <c:order val="2"/>
          <c:tx>
            <c:strRef>
              <c:f>Finanzierungssalden!$Q$2</c:f>
              <c:strCache>
                <c:ptCount val="1"/>
                <c:pt idx="0">
                  <c:v>Staat und private 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Finanzierungssalden!$J$3:$J$31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Finanzierungssalden!$Q$3:$Q$31</c:f>
              <c:numCache>
                <c:formatCode>0.00</c:formatCode>
                <c:ptCount val="29"/>
                <c:pt idx="0">
                  <c:v>1.6305965443309369</c:v>
                </c:pt>
                <c:pt idx="1">
                  <c:v>2.0370022208382785</c:v>
                </c:pt>
                <c:pt idx="2">
                  <c:v>1.0435264351272773</c:v>
                </c:pt>
                <c:pt idx="3">
                  <c:v>0.3096389822633987</c:v>
                </c:pt>
                <c:pt idx="4">
                  <c:v>-6.4347807728239594</c:v>
                </c:pt>
                <c:pt idx="5">
                  <c:v>-0.35760755290468316</c:v>
                </c:pt>
                <c:pt idx="6">
                  <c:v>0.26112230069092135</c:v>
                </c:pt>
                <c:pt idx="7">
                  <c:v>0.81075446034094201</c:v>
                </c:pt>
                <c:pt idx="8">
                  <c:v>1.6525045157029929</c:v>
                </c:pt>
                <c:pt idx="9">
                  <c:v>1.9889146503942456</c:v>
                </c:pt>
                <c:pt idx="10">
                  <c:v>1.4531838309076011</c:v>
                </c:pt>
                <c:pt idx="11">
                  <c:v>0.73121576620020701</c:v>
                </c:pt>
                <c:pt idx="12">
                  <c:v>1.9524138960105257</c:v>
                </c:pt>
                <c:pt idx="13">
                  <c:v>2.5619221045559817</c:v>
                </c:pt>
                <c:pt idx="14">
                  <c:v>3.0040073241824743</c:v>
                </c:pt>
                <c:pt idx="15">
                  <c:v>4.0825045700773135</c:v>
                </c:pt>
                <c:pt idx="16">
                  <c:v>5.7098677761997152</c:v>
                </c:pt>
                <c:pt idx="17">
                  <c:v>5.2635981291895915</c:v>
                </c:pt>
                <c:pt idx="18">
                  <c:v>3.0398694868198861</c:v>
                </c:pt>
                <c:pt idx="19">
                  <c:v>1.4160817345187953</c:v>
                </c:pt>
                <c:pt idx="20">
                  <c:v>3.7964255483449412</c:v>
                </c:pt>
                <c:pt idx="21">
                  <c:v>4.9559430446834787</c:v>
                </c:pt>
                <c:pt idx="22">
                  <c:v>4.7672470521279813</c:v>
                </c:pt>
                <c:pt idx="23">
                  <c:v>5.4746313319191247</c:v>
                </c:pt>
                <c:pt idx="24">
                  <c:v>6.2005168197434388</c:v>
                </c:pt>
                <c:pt idx="25">
                  <c:v>6.4073258670750777</c:v>
                </c:pt>
                <c:pt idx="26">
                  <c:v>6.6870776181128448</c:v>
                </c:pt>
                <c:pt idx="27">
                  <c:v>7.5208783717112642</c:v>
                </c:pt>
                <c:pt idx="28">
                  <c:v>7.0684179424256453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BA-4864-A888-ED427C6B6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063199"/>
        <c:axId val="388063615"/>
      </c:lineChart>
      <c:catAx>
        <c:axId val="3880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8063615"/>
        <c:crosses val="autoZero"/>
        <c:auto val="1"/>
        <c:lblAlgn val="ctr"/>
        <c:lblOffset val="100"/>
        <c:noMultiLvlLbl val="0"/>
      </c:catAx>
      <c:valAx>
        <c:axId val="3880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806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Leistungsbilanz zum</a:t>
            </a:r>
            <a:r>
              <a:rPr lang="en-US" baseline="0"/>
              <a:t> Rest der </a:t>
            </a:r>
            <a:r>
              <a:rPr lang="en-US"/>
              <a:t>Eurozone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Ländergruppen!$X$2</c:f>
              <c:strCache>
                <c:ptCount val="1"/>
                <c:pt idx="0">
                  <c:v>Eurozone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Ländergruppen!$N$3:$N$31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Ländergruppen!$X$3:$X$31</c:f>
              <c:numCache>
                <c:formatCode>General</c:formatCode>
                <c:ptCount val="29"/>
                <c:pt idx="0">
                  <c:v>-4.9752040301425153E-2</c:v>
                </c:pt>
                <c:pt idx="1">
                  <c:v>-0.10196849417764356</c:v>
                </c:pt>
                <c:pt idx="2">
                  <c:v>-0.31023980876582768</c:v>
                </c:pt>
                <c:pt idx="3">
                  <c:v>-0.4223820642781011</c:v>
                </c:pt>
                <c:pt idx="4">
                  <c:v>-0.68750114289484388</c:v>
                </c:pt>
                <c:pt idx="5">
                  <c:v>-0.52725537607344719</c:v>
                </c:pt>
                <c:pt idx="6">
                  <c:v>-0.62725592494709725</c:v>
                </c:pt>
                <c:pt idx="7">
                  <c:v>-0.37678306939962869</c:v>
                </c:pt>
                <c:pt idx="8">
                  <c:v>-0.25741395886340246</c:v>
                </c:pt>
                <c:pt idx="9">
                  <c:v>0.51652153298341941</c:v>
                </c:pt>
                <c:pt idx="10">
                  <c:v>0.15268239019764884</c:v>
                </c:pt>
                <c:pt idx="11">
                  <c:v>0.76804282750714248</c:v>
                </c:pt>
                <c:pt idx="12">
                  <c:v>0.65243758958567888</c:v>
                </c:pt>
                <c:pt idx="13">
                  <c:v>2.1285135601011262</c:v>
                </c:pt>
                <c:pt idx="14">
                  <c:v>2.7904861666470016</c:v>
                </c:pt>
                <c:pt idx="15">
                  <c:v>3.7088217585992922</c:v>
                </c:pt>
                <c:pt idx="16">
                  <c:v>4.2846951651297234</c:v>
                </c:pt>
                <c:pt idx="17">
                  <c:v>3.4340818538458828</c:v>
                </c:pt>
                <c:pt idx="18">
                  <c:v>3.7788417773016647</c:v>
                </c:pt>
                <c:pt idx="19">
                  <c:v>2.872260645765091</c:v>
                </c:pt>
                <c:pt idx="20">
                  <c:v>2.9627078290440902</c:v>
                </c:pt>
                <c:pt idx="21">
                  <c:v>2.3487212737359351</c:v>
                </c:pt>
                <c:pt idx="22">
                  <c:v>1.45335116581002</c:v>
                </c:pt>
                <c:pt idx="23">
                  <c:v>1.517492339697277</c:v>
                </c:pt>
                <c:pt idx="24">
                  <c:v>2.7077125280934107</c:v>
                </c:pt>
                <c:pt idx="25">
                  <c:v>2.6499185093009161</c:v>
                </c:pt>
                <c:pt idx="26">
                  <c:v>2.5760980157103726</c:v>
                </c:pt>
                <c:pt idx="27">
                  <c:v>2.3585850847842793</c:v>
                </c:pt>
                <c:pt idx="28">
                  <c:v>2.2004368582997835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1-442B-A3F2-B5A313ABC7CC}"/>
            </c:ext>
          </c:extLst>
        </c:ser>
        <c:ser>
          <c:idx val="1"/>
          <c:order val="1"/>
          <c:tx>
            <c:v>Ingesamt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Ländergruppen!$O$3:$O$31</c:f>
              <c:numCache>
                <c:formatCode>General</c:formatCode>
                <c:ptCount val="29"/>
                <c:pt idx="0">
                  <c:v>-1.4220452952389961</c:v>
                </c:pt>
                <c:pt idx="1">
                  <c:v>-1.1833887629108257</c:v>
                </c:pt>
                <c:pt idx="2">
                  <c:v>-1.0365710874412442</c:v>
                </c:pt>
                <c:pt idx="3">
                  <c:v>-1.4998368592386107</c:v>
                </c:pt>
                <c:pt idx="4">
                  <c:v>-1.2456677928966911</c:v>
                </c:pt>
                <c:pt idx="5">
                  <c:v>-0.67612743091944338</c:v>
                </c:pt>
                <c:pt idx="6">
                  <c:v>-0.50970989147693957</c:v>
                </c:pt>
                <c:pt idx="7">
                  <c:v>-0.71058116773562607</c:v>
                </c:pt>
                <c:pt idx="8">
                  <c:v>-1.422362052556956</c:v>
                </c:pt>
                <c:pt idx="9">
                  <c:v>-1.7612583151975496</c:v>
                </c:pt>
                <c:pt idx="10">
                  <c:v>-0.36802857484787399</c:v>
                </c:pt>
                <c:pt idx="11">
                  <c:v>1.8905553381980971</c:v>
                </c:pt>
                <c:pt idx="12">
                  <c:v>1.4138158864517061</c:v>
                </c:pt>
                <c:pt idx="13">
                  <c:v>4.5201921750967946</c:v>
                </c:pt>
                <c:pt idx="14">
                  <c:v>4.6734021177200642</c:v>
                </c:pt>
                <c:pt idx="15">
                  <c:v>5.7722982457611494</c:v>
                </c:pt>
                <c:pt idx="16">
                  <c:v>6.8609628133063953</c:v>
                </c:pt>
                <c:pt idx="17">
                  <c:v>5.6923070579503561</c:v>
                </c:pt>
                <c:pt idx="18">
                  <c:v>5.8364739362071854</c:v>
                </c:pt>
                <c:pt idx="19">
                  <c:v>5.7439734440804866</c:v>
                </c:pt>
                <c:pt idx="20">
                  <c:v>6.2126077384576543</c:v>
                </c:pt>
                <c:pt idx="21">
                  <c:v>7.1289656905777488</c:v>
                </c:pt>
                <c:pt idx="22">
                  <c:v>6.5574152986999117</c:v>
                </c:pt>
                <c:pt idx="23">
                  <c:v>7.2044776476294912</c:v>
                </c:pt>
                <c:pt idx="24">
                  <c:v>8.5900947502862959</c:v>
                </c:pt>
                <c:pt idx="25">
                  <c:v>8.5092788998436557</c:v>
                </c:pt>
                <c:pt idx="26">
                  <c:v>7.8238544956995257</c:v>
                </c:pt>
                <c:pt idx="27">
                  <c:v>7.3996374803027178</c:v>
                </c:pt>
                <c:pt idx="28">
                  <c:v>7.1026392272961463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1-442B-A3F2-B5A313ABC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901576"/>
        <c:axId val="488893704"/>
      </c:lineChart>
      <c:catAx>
        <c:axId val="48890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893704"/>
        <c:crosses val="autoZero"/>
        <c:auto val="1"/>
        <c:lblAlgn val="ctr"/>
        <c:lblOffset val="100"/>
        <c:noMultiLvlLbl val="0"/>
      </c:catAx>
      <c:valAx>
        <c:axId val="48889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901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Ländergruppen!$X$2</c:f>
              <c:strCache>
                <c:ptCount val="1"/>
                <c:pt idx="0">
                  <c:v>Eurozone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Ländergruppen!$N$3:$N$31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Ländergruppen!$X$3:$X$31</c:f>
              <c:numCache>
                <c:formatCode>General</c:formatCode>
                <c:ptCount val="29"/>
                <c:pt idx="0">
                  <c:v>-4.9752040301425153E-2</c:v>
                </c:pt>
                <c:pt idx="1">
                  <c:v>-0.10196849417764356</c:v>
                </c:pt>
                <c:pt idx="2">
                  <c:v>-0.31023980876582768</c:v>
                </c:pt>
                <c:pt idx="3">
                  <c:v>-0.4223820642781011</c:v>
                </c:pt>
                <c:pt idx="4">
                  <c:v>-0.68750114289484388</c:v>
                </c:pt>
                <c:pt idx="5">
                  <c:v>-0.52725537607344719</c:v>
                </c:pt>
                <c:pt idx="6">
                  <c:v>-0.62725592494709725</c:v>
                </c:pt>
                <c:pt idx="7">
                  <c:v>-0.37678306939962869</c:v>
                </c:pt>
                <c:pt idx="8">
                  <c:v>-0.25741395886340246</c:v>
                </c:pt>
                <c:pt idx="9">
                  <c:v>0.51652153298341941</c:v>
                </c:pt>
                <c:pt idx="10">
                  <c:v>0.15268239019764884</c:v>
                </c:pt>
                <c:pt idx="11">
                  <c:v>0.76804282750714248</c:v>
                </c:pt>
                <c:pt idx="12">
                  <c:v>0.65243758958567888</c:v>
                </c:pt>
                <c:pt idx="13">
                  <c:v>2.1285135601011262</c:v>
                </c:pt>
                <c:pt idx="14">
                  <c:v>2.7904861666470016</c:v>
                </c:pt>
                <c:pt idx="15">
                  <c:v>3.7088217585992922</c:v>
                </c:pt>
                <c:pt idx="16">
                  <c:v>4.2846951651297234</c:v>
                </c:pt>
                <c:pt idx="17">
                  <c:v>3.4340818538458828</c:v>
                </c:pt>
                <c:pt idx="18">
                  <c:v>3.7788417773016647</c:v>
                </c:pt>
                <c:pt idx="19">
                  <c:v>2.872260645765091</c:v>
                </c:pt>
                <c:pt idx="20">
                  <c:v>2.9627078290440902</c:v>
                </c:pt>
                <c:pt idx="21">
                  <c:v>2.3487212737359351</c:v>
                </c:pt>
                <c:pt idx="22">
                  <c:v>1.45335116581002</c:v>
                </c:pt>
                <c:pt idx="23">
                  <c:v>1.517492339697277</c:v>
                </c:pt>
                <c:pt idx="24">
                  <c:v>2.7077125280934107</c:v>
                </c:pt>
                <c:pt idx="25">
                  <c:v>2.6499185093009161</c:v>
                </c:pt>
                <c:pt idx="26">
                  <c:v>2.5760980157103726</c:v>
                </c:pt>
                <c:pt idx="27">
                  <c:v>2.3585850847842793</c:v>
                </c:pt>
                <c:pt idx="28">
                  <c:v>2.2004368582997835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C-4EF7-9D7D-032A75075B9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Finanzierungssalden!$K$3:$K$31</c:f>
              <c:numCache>
                <c:formatCode>0.00</c:formatCode>
                <c:ptCount val="29"/>
                <c:pt idx="0">
                  <c:v>4.819649388321352</c:v>
                </c:pt>
                <c:pt idx="1">
                  <c:v>4.6420220203753102</c:v>
                </c:pt>
                <c:pt idx="2">
                  <c:v>4.1384667226382001</c:v>
                </c:pt>
                <c:pt idx="3">
                  <c:v>2.8334836435188984</c:v>
                </c:pt>
                <c:pt idx="4">
                  <c:v>2.9974506626693622</c:v>
                </c:pt>
                <c:pt idx="5">
                  <c:v>3.2127949702817764</c:v>
                </c:pt>
                <c:pt idx="6">
                  <c:v>3.2032225989852892</c:v>
                </c:pt>
                <c:pt idx="7">
                  <c:v>3.3776471639479353</c:v>
                </c:pt>
                <c:pt idx="8">
                  <c:v>3.371724901431429</c:v>
                </c:pt>
                <c:pt idx="9">
                  <c:v>3.5735791265427266</c:v>
                </c:pt>
                <c:pt idx="10">
                  <c:v>4.4786287018881126</c:v>
                </c:pt>
                <c:pt idx="11">
                  <c:v>4.6062089421869601</c:v>
                </c:pt>
                <c:pt idx="12">
                  <c:v>5.6566149839254463</c:v>
                </c:pt>
                <c:pt idx="13">
                  <c:v>5.896080476636671</c:v>
                </c:pt>
                <c:pt idx="14">
                  <c:v>6.3234439389767987</c:v>
                </c:pt>
                <c:pt idx="15">
                  <c:v>5.735656665604508</c:v>
                </c:pt>
                <c:pt idx="16">
                  <c:v>5.4489808165469782</c:v>
                </c:pt>
                <c:pt idx="17">
                  <c:v>5.3799543685622178</c:v>
                </c:pt>
                <c:pt idx="18">
                  <c:v>6.1903807861047619</c:v>
                </c:pt>
                <c:pt idx="19">
                  <c:v>5.794727811573857</c:v>
                </c:pt>
                <c:pt idx="20">
                  <c:v>4.6778241435126748</c:v>
                </c:pt>
                <c:pt idx="21">
                  <c:v>4.9466180504205353</c:v>
                </c:pt>
                <c:pt idx="22">
                  <c:v>4.7272662599818593</c:v>
                </c:pt>
                <c:pt idx="23">
                  <c:v>4.895078618446898</c:v>
                </c:pt>
                <c:pt idx="24">
                  <c:v>5.2573042866996476</c:v>
                </c:pt>
                <c:pt idx="25">
                  <c:v>5.2231900705146614</c:v>
                </c:pt>
                <c:pt idx="26">
                  <c:v>5.4453172428882679</c:v>
                </c:pt>
                <c:pt idx="27">
                  <c:v>5.654278683279661</c:v>
                </c:pt>
                <c:pt idx="28">
                  <c:v>5.6008220749240953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C-4EF7-9D7D-032A7507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882224"/>
        <c:axId val="488881568"/>
      </c:lineChart>
      <c:catAx>
        <c:axId val="4888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881568"/>
        <c:crosses val="autoZero"/>
        <c:auto val="1"/>
        <c:lblAlgn val="ctr"/>
        <c:lblOffset val="100"/>
        <c:noMultiLvlLbl val="0"/>
      </c:catAx>
      <c:valAx>
        <c:axId val="4888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8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Ländergruppen!$X$2</c:f>
              <c:strCache>
                <c:ptCount val="1"/>
                <c:pt idx="0">
                  <c:v>Eurozone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Ländergruppen!$N$3:$N$31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Ländergruppen!$X$3:$X$31</c:f>
              <c:numCache>
                <c:formatCode>General</c:formatCode>
                <c:ptCount val="29"/>
                <c:pt idx="0">
                  <c:v>-4.9752040301425153E-2</c:v>
                </c:pt>
                <c:pt idx="1">
                  <c:v>-0.10196849417764356</c:v>
                </c:pt>
                <c:pt idx="2">
                  <c:v>-0.31023980876582768</c:v>
                </c:pt>
                <c:pt idx="3">
                  <c:v>-0.4223820642781011</c:v>
                </c:pt>
                <c:pt idx="4">
                  <c:v>-0.68750114289484388</c:v>
                </c:pt>
                <c:pt idx="5">
                  <c:v>-0.52725537607344719</c:v>
                </c:pt>
                <c:pt idx="6">
                  <c:v>-0.62725592494709725</c:v>
                </c:pt>
                <c:pt idx="7">
                  <c:v>-0.37678306939962869</c:v>
                </c:pt>
                <c:pt idx="8">
                  <c:v>-0.25741395886340246</c:v>
                </c:pt>
                <c:pt idx="9">
                  <c:v>0.51652153298341941</c:v>
                </c:pt>
                <c:pt idx="10">
                  <c:v>0.15268239019764884</c:v>
                </c:pt>
                <c:pt idx="11">
                  <c:v>0.76804282750714248</c:v>
                </c:pt>
                <c:pt idx="12">
                  <c:v>0.65243758958567888</c:v>
                </c:pt>
                <c:pt idx="13">
                  <c:v>2.1285135601011262</c:v>
                </c:pt>
                <c:pt idx="14">
                  <c:v>2.7904861666470016</c:v>
                </c:pt>
                <c:pt idx="15">
                  <c:v>3.7088217585992922</c:v>
                </c:pt>
                <c:pt idx="16">
                  <c:v>4.2846951651297234</c:v>
                </c:pt>
                <c:pt idx="17">
                  <c:v>3.4340818538458828</c:v>
                </c:pt>
                <c:pt idx="18">
                  <c:v>3.7788417773016647</c:v>
                </c:pt>
                <c:pt idx="19">
                  <c:v>2.872260645765091</c:v>
                </c:pt>
                <c:pt idx="20">
                  <c:v>2.9627078290440902</c:v>
                </c:pt>
                <c:pt idx="21">
                  <c:v>2.3487212737359351</c:v>
                </c:pt>
                <c:pt idx="22">
                  <c:v>1.45335116581002</c:v>
                </c:pt>
                <c:pt idx="23">
                  <c:v>1.517492339697277</c:v>
                </c:pt>
                <c:pt idx="24">
                  <c:v>2.7077125280934107</c:v>
                </c:pt>
                <c:pt idx="25">
                  <c:v>2.6499185093009161</c:v>
                </c:pt>
                <c:pt idx="26">
                  <c:v>2.5760980157103726</c:v>
                </c:pt>
                <c:pt idx="27">
                  <c:v>2.3585850847842793</c:v>
                </c:pt>
                <c:pt idx="28">
                  <c:v>2.2004368582997835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8-4467-9232-3C32A4B4ADF0}"/>
            </c:ext>
          </c:extLst>
        </c:ser>
        <c:ser>
          <c:idx val="1"/>
          <c:order val="1"/>
          <c:tx>
            <c:strRef>
              <c:f>Ländergruppen!$Y$2</c:f>
              <c:strCache>
                <c:ptCount val="1"/>
                <c:pt idx="0">
                  <c:v>Rest of World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Ländergruppen!$N$3:$N$31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Ländergruppen!$Y$3:$Y$31</c:f>
              <c:numCache>
                <c:formatCode>General</c:formatCode>
                <c:ptCount val="29"/>
                <c:pt idx="0">
                  <c:v>-1.372293254937571</c:v>
                </c:pt>
                <c:pt idx="1">
                  <c:v>-1.0814202687331822</c:v>
                </c:pt>
                <c:pt idx="2">
                  <c:v>-0.72633127867541647</c:v>
                </c:pt>
                <c:pt idx="3">
                  <c:v>-1.0774547949605096</c:v>
                </c:pt>
                <c:pt idx="4">
                  <c:v>-0.55816665000184718</c:v>
                </c:pt>
                <c:pt idx="5">
                  <c:v>-0.14887205484599619</c:v>
                </c:pt>
                <c:pt idx="6">
                  <c:v>0.11754603347015768</c:v>
                </c:pt>
                <c:pt idx="7">
                  <c:v>-0.33379809833599738</c:v>
                </c:pt>
                <c:pt idx="8">
                  <c:v>-1.1649480936935537</c:v>
                </c:pt>
                <c:pt idx="9">
                  <c:v>-2.2777798481809688</c:v>
                </c:pt>
                <c:pt idx="10">
                  <c:v>-0.52071096504552283</c:v>
                </c:pt>
                <c:pt idx="11">
                  <c:v>1.1225125106909546</c:v>
                </c:pt>
                <c:pt idx="12">
                  <c:v>0.7613782968660272</c:v>
                </c:pt>
                <c:pt idx="13">
                  <c:v>2.3916786149956684</c:v>
                </c:pt>
                <c:pt idx="14">
                  <c:v>1.8829159510730626</c:v>
                </c:pt>
                <c:pt idx="15">
                  <c:v>2.0634764871618572</c:v>
                </c:pt>
                <c:pt idx="16">
                  <c:v>2.576267648176672</c:v>
                </c:pt>
                <c:pt idx="17">
                  <c:v>2.2582252041044732</c:v>
                </c:pt>
                <c:pt idx="18">
                  <c:v>2.0576321589055206</c:v>
                </c:pt>
                <c:pt idx="19">
                  <c:v>2.8717127983153956</c:v>
                </c:pt>
                <c:pt idx="20">
                  <c:v>3.2498999094135641</c:v>
                </c:pt>
                <c:pt idx="21">
                  <c:v>4.7802444168418141</c:v>
                </c:pt>
                <c:pt idx="22">
                  <c:v>5.1040641328898921</c:v>
                </c:pt>
                <c:pt idx="23">
                  <c:v>5.6869853079322139</c:v>
                </c:pt>
                <c:pt idx="24">
                  <c:v>5.8823822221928852</c:v>
                </c:pt>
                <c:pt idx="25">
                  <c:v>5.85936039054274</c:v>
                </c:pt>
                <c:pt idx="26">
                  <c:v>5.2477564799891532</c:v>
                </c:pt>
                <c:pt idx="27">
                  <c:v>5.0410523955184381</c:v>
                </c:pt>
                <c:pt idx="28">
                  <c:v>4.9022023689963632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8-4467-9232-3C32A4B4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911744"/>
        <c:axId val="488913712"/>
      </c:lineChart>
      <c:catAx>
        <c:axId val="4889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913712"/>
        <c:crosses val="autoZero"/>
        <c:auto val="1"/>
        <c:lblAlgn val="ctr"/>
        <c:lblOffset val="100"/>
        <c:noMultiLvlLbl val="0"/>
      </c:catAx>
      <c:valAx>
        <c:axId val="4889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891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Grafik!$B$1</c:f>
              <c:strCache>
                <c:ptCount val="1"/>
                <c:pt idx="0">
                  <c:v>Current Account Surplus relative to Eurozone (in % of GDP)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Grafik!$B$2:$B$26</c:f>
              <c:numCache>
                <c:formatCode>General</c:formatCode>
                <c:ptCount val="25"/>
                <c:pt idx="0">
                  <c:v>-0.68750114289484388</c:v>
                </c:pt>
                <c:pt idx="1">
                  <c:v>-0.52725537607344719</c:v>
                </c:pt>
                <c:pt idx="2">
                  <c:v>-0.62725592494709725</c:v>
                </c:pt>
                <c:pt idx="3">
                  <c:v>-0.37678306939962869</c:v>
                </c:pt>
                <c:pt idx="4">
                  <c:v>-0.25741395886340246</c:v>
                </c:pt>
                <c:pt idx="5">
                  <c:v>0.51652153298341941</c:v>
                </c:pt>
                <c:pt idx="6">
                  <c:v>0.15268239019764884</c:v>
                </c:pt>
                <c:pt idx="7">
                  <c:v>0.76804282750714248</c:v>
                </c:pt>
                <c:pt idx="8">
                  <c:v>0.65243758958567888</c:v>
                </c:pt>
                <c:pt idx="9">
                  <c:v>2.1285135601011262</c:v>
                </c:pt>
                <c:pt idx="10">
                  <c:v>2.7904861666470016</c:v>
                </c:pt>
                <c:pt idx="11">
                  <c:v>3.7088217585992922</c:v>
                </c:pt>
                <c:pt idx="12">
                  <c:v>4.2846951651297234</c:v>
                </c:pt>
                <c:pt idx="13">
                  <c:v>3.4340818538458828</c:v>
                </c:pt>
                <c:pt idx="14">
                  <c:v>3.7788417773016647</c:v>
                </c:pt>
                <c:pt idx="15">
                  <c:v>2.872260645765091</c:v>
                </c:pt>
                <c:pt idx="16">
                  <c:v>2.9627078290440902</c:v>
                </c:pt>
                <c:pt idx="17">
                  <c:v>2.3487212737359351</c:v>
                </c:pt>
                <c:pt idx="18">
                  <c:v>1.45335116581002</c:v>
                </c:pt>
                <c:pt idx="19">
                  <c:v>1.517492339697277</c:v>
                </c:pt>
                <c:pt idx="20">
                  <c:v>2.7077125280934107</c:v>
                </c:pt>
                <c:pt idx="21">
                  <c:v>2.6499185093009161</c:v>
                </c:pt>
                <c:pt idx="22">
                  <c:v>2.5760980157103726</c:v>
                </c:pt>
                <c:pt idx="23">
                  <c:v>2.3585850847842793</c:v>
                </c:pt>
                <c:pt idx="24">
                  <c:v>2.2004368582997835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D-4754-A87A-B93318821F64}"/>
            </c:ext>
          </c:extLst>
        </c:ser>
        <c:ser>
          <c:idx val="1"/>
          <c:order val="1"/>
          <c:tx>
            <c:strRef>
              <c:f>Grafik!$C$1</c:f>
              <c:strCache>
                <c:ptCount val="1"/>
                <c:pt idx="0">
                  <c:v>Households' Contribution to German Current Account (in % of GDP)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Grafik!$C$2:$C$26</c:f>
              <c:numCache>
                <c:formatCode>General</c:formatCode>
                <c:ptCount val="25"/>
                <c:pt idx="0">
                  <c:v>2.9974506626693622</c:v>
                </c:pt>
                <c:pt idx="1">
                  <c:v>3.2127949702817764</c:v>
                </c:pt>
                <c:pt idx="2">
                  <c:v>3.2032225989852892</c:v>
                </c:pt>
                <c:pt idx="3">
                  <c:v>3.3776471639479353</c:v>
                </c:pt>
                <c:pt idx="4">
                  <c:v>3.371724901431429</c:v>
                </c:pt>
                <c:pt idx="5">
                  <c:v>3.5735791265427266</c:v>
                </c:pt>
                <c:pt idx="6">
                  <c:v>4.4786287018881126</c:v>
                </c:pt>
                <c:pt idx="7">
                  <c:v>4.6062089421869601</c:v>
                </c:pt>
                <c:pt idx="8">
                  <c:v>5.6566149839254463</c:v>
                </c:pt>
                <c:pt idx="9">
                  <c:v>5.896080476636671</c:v>
                </c:pt>
                <c:pt idx="10">
                  <c:v>6.3234439389767987</c:v>
                </c:pt>
                <c:pt idx="11">
                  <c:v>5.735656665604508</c:v>
                </c:pt>
                <c:pt idx="12">
                  <c:v>5.4489808165469782</c:v>
                </c:pt>
                <c:pt idx="13">
                  <c:v>5.3799543685622178</c:v>
                </c:pt>
                <c:pt idx="14">
                  <c:v>6.1903807861047619</c:v>
                </c:pt>
                <c:pt idx="15">
                  <c:v>5.794727811573857</c:v>
                </c:pt>
                <c:pt idx="16">
                  <c:v>4.6778241435126748</c:v>
                </c:pt>
                <c:pt idx="17">
                  <c:v>4.9466180504205353</c:v>
                </c:pt>
                <c:pt idx="18">
                  <c:v>4.7272662599818593</c:v>
                </c:pt>
                <c:pt idx="19">
                  <c:v>4.895078618446898</c:v>
                </c:pt>
                <c:pt idx="20">
                  <c:v>5.2573042866996476</c:v>
                </c:pt>
                <c:pt idx="21">
                  <c:v>5.2231900705146614</c:v>
                </c:pt>
                <c:pt idx="22">
                  <c:v>5.4453172428882679</c:v>
                </c:pt>
                <c:pt idx="23">
                  <c:v>5.654278683279661</c:v>
                </c:pt>
                <c:pt idx="24">
                  <c:v>5.6008220749240953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0D-4754-A87A-B93318821F64}"/>
            </c:ext>
          </c:extLst>
        </c:ser>
        <c:ser>
          <c:idx val="2"/>
          <c:order val="2"/>
          <c:tx>
            <c:strRef>
              <c:f>Grafik!$D$1</c:f>
              <c:strCache>
                <c:ptCount val="1"/>
                <c:pt idx="0">
                  <c:v>Relative Unit Labor Costs: Germany Rest of Eurozone (Relative to 2005)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Grafik!$D$2:$D$26</c:f>
              <c:numCache>
                <c:formatCode>General</c:formatCode>
                <c:ptCount val="25"/>
                <c:pt idx="0">
                  <c:v>11.326295225779482</c:v>
                </c:pt>
                <c:pt idx="1">
                  <c:v>9.2327698309492732</c:v>
                </c:pt>
                <c:pt idx="2">
                  <c:v>7.3738680465718076</c:v>
                </c:pt>
                <c:pt idx="3">
                  <c:v>7.4838709677419235</c:v>
                </c:pt>
                <c:pt idx="4">
                  <c:v>7.1337579617834379</c:v>
                </c:pt>
                <c:pt idx="5">
                  <c:v>6.6750629722921895</c:v>
                </c:pt>
                <c:pt idx="6">
                  <c:v>4.7029702970297071</c:v>
                </c:pt>
                <c:pt idx="7">
                  <c:v>3.1400966183575019</c:v>
                </c:pt>
                <c:pt idx="8">
                  <c:v>2.2458628841607542</c:v>
                </c:pt>
                <c:pt idx="9">
                  <c:v>1.2880562060889833</c:v>
                </c:pt>
                <c:pt idx="10">
                  <c:v>-0.69364161849709838</c:v>
                </c:pt>
                <c:pt idx="11">
                  <c:v>-3.5550458715596478</c:v>
                </c:pt>
                <c:pt idx="12">
                  <c:v>-5.3107344632768338</c:v>
                </c:pt>
                <c:pt idx="13">
                  <c:v>-6.0935799782372175</c:v>
                </c:pt>
                <c:pt idx="14">
                  <c:v>-4.1710114702815382</c:v>
                </c:pt>
                <c:pt idx="15">
                  <c:v>-4.7120418848167533</c:v>
                </c:pt>
                <c:pt idx="16">
                  <c:v>-4.9009384775808185</c:v>
                </c:pt>
                <c:pt idx="17">
                  <c:v>-3.6847492323439202</c:v>
                </c:pt>
                <c:pt idx="18">
                  <c:v>-2.8311425682507663</c:v>
                </c:pt>
                <c:pt idx="19">
                  <c:v>-1.9095477386934734</c:v>
                </c:pt>
                <c:pt idx="20">
                  <c:v>0</c:v>
                </c:pt>
                <c:pt idx="21">
                  <c:v>0.59523809523809312</c:v>
                </c:pt>
                <c:pt idx="22">
                  <c:v>0.98619329388560661</c:v>
                </c:pt>
                <c:pt idx="23">
                  <c:v>2.3210831721469871</c:v>
                </c:pt>
                <c:pt idx="24">
                  <c:v>3.6053130929791344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0D-4754-A87A-B9331882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193784"/>
        <c:axId val="556191816"/>
      </c:lineChart>
      <c:catAx>
        <c:axId val="55619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191816"/>
        <c:crosses val="autoZero"/>
        <c:auto val="1"/>
        <c:lblAlgn val="ctr"/>
        <c:lblOffset val="100"/>
        <c:noMultiLvlLbl val="0"/>
      </c:catAx>
      <c:valAx>
        <c:axId val="5561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19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619864896070151E-2"/>
          <c:y val="2.9999994094489352E-2"/>
          <c:w val="0.92377809651117027"/>
          <c:h val="0.80718665212861174"/>
        </c:manualLayout>
      </c:layout>
      <c:lineChart>
        <c:grouping val="standard"/>
        <c:varyColors val="0"/>
        <c:ser>
          <c:idx val="0"/>
          <c:order val="0"/>
          <c:tx>
            <c:strRef>
              <c:f>Grafik!$B$1</c:f>
              <c:strCache>
                <c:ptCount val="1"/>
                <c:pt idx="0">
                  <c:v>Current Account Surplus relative to Eurozone (in % of GDP)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Grafik!$B$2:$B$26</c:f>
              <c:numCache>
                <c:formatCode>General</c:formatCode>
                <c:ptCount val="25"/>
                <c:pt idx="0">
                  <c:v>-0.68750114289484388</c:v>
                </c:pt>
                <c:pt idx="1">
                  <c:v>-0.52725537607344719</c:v>
                </c:pt>
                <c:pt idx="2">
                  <c:v>-0.62725592494709725</c:v>
                </c:pt>
                <c:pt idx="3">
                  <c:v>-0.37678306939962869</c:v>
                </c:pt>
                <c:pt idx="4">
                  <c:v>-0.25741395886340246</c:v>
                </c:pt>
                <c:pt idx="5">
                  <c:v>0.51652153298341941</c:v>
                </c:pt>
                <c:pt idx="6">
                  <c:v>0.15268239019764884</c:v>
                </c:pt>
                <c:pt idx="7">
                  <c:v>0.76804282750714248</c:v>
                </c:pt>
                <c:pt idx="8">
                  <c:v>0.65243758958567888</c:v>
                </c:pt>
                <c:pt idx="9">
                  <c:v>2.1285135601011262</c:v>
                </c:pt>
                <c:pt idx="10">
                  <c:v>2.7904861666470016</c:v>
                </c:pt>
                <c:pt idx="11">
                  <c:v>3.7088217585992922</c:v>
                </c:pt>
                <c:pt idx="12">
                  <c:v>4.2846951651297234</c:v>
                </c:pt>
                <c:pt idx="13">
                  <c:v>3.4340818538458828</c:v>
                </c:pt>
                <c:pt idx="14">
                  <c:v>3.7788417773016647</c:v>
                </c:pt>
                <c:pt idx="15">
                  <c:v>2.872260645765091</c:v>
                </c:pt>
                <c:pt idx="16">
                  <c:v>2.9627078290440902</c:v>
                </c:pt>
                <c:pt idx="17">
                  <c:v>2.3487212737359351</c:v>
                </c:pt>
                <c:pt idx="18">
                  <c:v>1.45335116581002</c:v>
                </c:pt>
                <c:pt idx="19">
                  <c:v>1.517492339697277</c:v>
                </c:pt>
                <c:pt idx="20">
                  <c:v>2.7077125280934107</c:v>
                </c:pt>
                <c:pt idx="21">
                  <c:v>2.6499185093009161</c:v>
                </c:pt>
                <c:pt idx="22">
                  <c:v>2.5760980157103726</c:v>
                </c:pt>
                <c:pt idx="23">
                  <c:v>2.3585850847842793</c:v>
                </c:pt>
                <c:pt idx="24">
                  <c:v>2.2004368582997835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0-449A-84A5-6F2F1E005B67}"/>
            </c:ext>
          </c:extLst>
        </c:ser>
        <c:ser>
          <c:idx val="1"/>
          <c:order val="1"/>
          <c:tx>
            <c:strRef>
              <c:f>Grafik!$C$1</c:f>
              <c:strCache>
                <c:ptCount val="1"/>
                <c:pt idx="0">
                  <c:v>Households' Contribution to German Current Account (in % of GDP)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Grafik!$C$2:$C$26</c:f>
              <c:numCache>
                <c:formatCode>General</c:formatCode>
                <c:ptCount val="25"/>
                <c:pt idx="0">
                  <c:v>2.9974506626693622</c:v>
                </c:pt>
                <c:pt idx="1">
                  <c:v>3.2127949702817764</c:v>
                </c:pt>
                <c:pt idx="2">
                  <c:v>3.2032225989852892</c:v>
                </c:pt>
                <c:pt idx="3">
                  <c:v>3.3776471639479353</c:v>
                </c:pt>
                <c:pt idx="4">
                  <c:v>3.371724901431429</c:v>
                </c:pt>
                <c:pt idx="5">
                  <c:v>3.5735791265427266</c:v>
                </c:pt>
                <c:pt idx="6">
                  <c:v>4.4786287018881126</c:v>
                </c:pt>
                <c:pt idx="7">
                  <c:v>4.6062089421869601</c:v>
                </c:pt>
                <c:pt idx="8">
                  <c:v>5.6566149839254463</c:v>
                </c:pt>
                <c:pt idx="9">
                  <c:v>5.896080476636671</c:v>
                </c:pt>
                <c:pt idx="10">
                  <c:v>6.3234439389767987</c:v>
                </c:pt>
                <c:pt idx="11">
                  <c:v>5.735656665604508</c:v>
                </c:pt>
                <c:pt idx="12">
                  <c:v>5.4489808165469782</c:v>
                </c:pt>
                <c:pt idx="13">
                  <c:v>5.3799543685622178</c:v>
                </c:pt>
                <c:pt idx="14">
                  <c:v>6.1903807861047619</c:v>
                </c:pt>
                <c:pt idx="15">
                  <c:v>5.794727811573857</c:v>
                </c:pt>
                <c:pt idx="16">
                  <c:v>4.6778241435126748</c:v>
                </c:pt>
                <c:pt idx="17">
                  <c:v>4.9466180504205353</c:v>
                </c:pt>
                <c:pt idx="18">
                  <c:v>4.7272662599818593</c:v>
                </c:pt>
                <c:pt idx="19">
                  <c:v>4.895078618446898</c:v>
                </c:pt>
                <c:pt idx="20">
                  <c:v>5.2573042866996476</c:v>
                </c:pt>
                <c:pt idx="21">
                  <c:v>5.2231900705146614</c:v>
                </c:pt>
                <c:pt idx="22">
                  <c:v>5.4453172428882679</c:v>
                </c:pt>
                <c:pt idx="23">
                  <c:v>5.654278683279661</c:v>
                </c:pt>
                <c:pt idx="24">
                  <c:v>5.6008220749240953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0-449A-84A5-6F2F1E005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193784"/>
        <c:axId val="556191816"/>
      </c:lineChart>
      <c:lineChart>
        <c:grouping val="standard"/>
        <c:varyColors val="0"/>
        <c:ser>
          <c:idx val="2"/>
          <c:order val="2"/>
          <c:tx>
            <c:strRef>
              <c:f>Grafik!$D$1</c:f>
              <c:strCache>
                <c:ptCount val="1"/>
                <c:pt idx="0">
                  <c:v>Relative Unit Labor Costs: Germany Rest of Eurozone (Relative to 2005)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Grafik!$A$2:$A$26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Grafik!$D$2:$D$26</c:f>
              <c:numCache>
                <c:formatCode>General</c:formatCode>
                <c:ptCount val="25"/>
                <c:pt idx="0">
                  <c:v>11.326295225779482</c:v>
                </c:pt>
                <c:pt idx="1">
                  <c:v>9.2327698309492732</c:v>
                </c:pt>
                <c:pt idx="2">
                  <c:v>7.3738680465718076</c:v>
                </c:pt>
                <c:pt idx="3">
                  <c:v>7.4838709677419235</c:v>
                </c:pt>
                <c:pt idx="4">
                  <c:v>7.1337579617834379</c:v>
                </c:pt>
                <c:pt idx="5">
                  <c:v>6.6750629722921895</c:v>
                </c:pt>
                <c:pt idx="6">
                  <c:v>4.7029702970297071</c:v>
                </c:pt>
                <c:pt idx="7">
                  <c:v>3.1400966183575019</c:v>
                </c:pt>
                <c:pt idx="8">
                  <c:v>2.2458628841607542</c:v>
                </c:pt>
                <c:pt idx="9">
                  <c:v>1.2880562060889833</c:v>
                </c:pt>
                <c:pt idx="10">
                  <c:v>-0.69364161849709838</c:v>
                </c:pt>
                <c:pt idx="11">
                  <c:v>-3.5550458715596478</c:v>
                </c:pt>
                <c:pt idx="12">
                  <c:v>-5.3107344632768338</c:v>
                </c:pt>
                <c:pt idx="13">
                  <c:v>-6.0935799782372175</c:v>
                </c:pt>
                <c:pt idx="14">
                  <c:v>-4.1710114702815382</c:v>
                </c:pt>
                <c:pt idx="15">
                  <c:v>-4.7120418848167533</c:v>
                </c:pt>
                <c:pt idx="16">
                  <c:v>-4.9009384775808185</c:v>
                </c:pt>
                <c:pt idx="17">
                  <c:v>-3.6847492323439202</c:v>
                </c:pt>
                <c:pt idx="18">
                  <c:v>-2.8311425682507663</c:v>
                </c:pt>
                <c:pt idx="19">
                  <c:v>-1.9095477386934734</c:v>
                </c:pt>
                <c:pt idx="20">
                  <c:v>0</c:v>
                </c:pt>
                <c:pt idx="21">
                  <c:v>0.59523809523809312</c:v>
                </c:pt>
                <c:pt idx="22">
                  <c:v>0.98619329388560661</c:v>
                </c:pt>
                <c:pt idx="23">
                  <c:v>2.3210831721469871</c:v>
                </c:pt>
                <c:pt idx="24">
                  <c:v>3.6053130929791344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0-449A-84A5-6F2F1E005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558895"/>
        <c:axId val="1692385871"/>
      </c:lineChart>
      <c:catAx>
        <c:axId val="55619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191816"/>
        <c:crosses val="autoZero"/>
        <c:auto val="1"/>
        <c:lblAlgn val="ctr"/>
        <c:lblOffset val="100"/>
        <c:noMultiLvlLbl val="0"/>
      </c:catAx>
      <c:valAx>
        <c:axId val="5561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193784"/>
        <c:crosses val="autoZero"/>
        <c:crossBetween val="between"/>
      </c:valAx>
      <c:valAx>
        <c:axId val="1692385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1558895"/>
        <c:crosses val="max"/>
        <c:crossBetween val="between"/>
      </c:valAx>
      <c:catAx>
        <c:axId val="169155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38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2</xdr:row>
      <xdr:rowOff>157162</xdr:rowOff>
    </xdr:from>
    <xdr:to>
      <xdr:col>22</xdr:col>
      <xdr:colOff>0</xdr:colOff>
      <xdr:row>17</xdr:row>
      <xdr:rowOff>42862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40E0D1C1-C08D-455B-B051-672D77D0B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38100</xdr:rowOff>
    </xdr:from>
    <xdr:to>
      <xdr:col>11</xdr:col>
      <xdr:colOff>533400</xdr:colOff>
      <xdr:row>16</xdr:row>
      <xdr:rowOff>111125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495300</xdr:colOff>
      <xdr:row>6</xdr:row>
      <xdr:rowOff>85725</xdr:rowOff>
    </xdr:from>
    <xdr:to>
      <xdr:col>21</xdr:col>
      <xdr:colOff>495300</xdr:colOff>
      <xdr:row>20</xdr:row>
      <xdr:rowOff>161925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133350</xdr:colOff>
      <xdr:row>1</xdr:row>
      <xdr:rowOff>228600</xdr:rowOff>
    </xdr:from>
    <xdr:to>
      <xdr:col>27</xdr:col>
      <xdr:colOff>133350</xdr:colOff>
      <xdr:row>7</xdr:row>
      <xdr:rowOff>114300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685799</xdr:colOff>
      <xdr:row>4</xdr:row>
      <xdr:rowOff>9524</xdr:rowOff>
    </xdr:from>
    <xdr:to>
      <xdr:col>21</xdr:col>
      <xdr:colOff>752474</xdr:colOff>
      <xdr:row>30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736600</xdr:colOff>
      <xdr:row>32</xdr:row>
      <xdr:rowOff>19050</xdr:rowOff>
    </xdr:from>
    <xdr:to>
      <xdr:col>28</xdr:col>
      <xdr:colOff>41275</xdr:colOff>
      <xdr:row>59</xdr:row>
      <xdr:rowOff>41276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1"/>
  <sheetViews>
    <sheetView tabSelected="1" workbookViewId="0">
      <selection activeCell="M2" activeCellId="2" sqref="K2:K31 Q2:Q31 M2:M31"/>
    </sheetView>
  </sheetViews>
  <sheetFormatPr baseColWidth="10" defaultColWidth="10.85546875" defaultRowHeight="15" x14ac:dyDescent="0.25"/>
  <sheetData>
    <row r="1" spans="1:31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31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Q2" t="s">
        <v>65</v>
      </c>
      <c r="R2" t="s">
        <v>66</v>
      </c>
      <c r="T2" t="s">
        <v>55</v>
      </c>
      <c r="V2" t="s">
        <v>19</v>
      </c>
      <c r="W2" t="s">
        <v>20</v>
      </c>
      <c r="X2" t="s">
        <v>1</v>
      </c>
      <c r="Y2" t="s">
        <v>21</v>
      </c>
      <c r="Z2" t="s">
        <v>3</v>
      </c>
      <c r="AB2" t="s">
        <v>22</v>
      </c>
      <c r="AC2" t="s">
        <v>23</v>
      </c>
      <c r="AD2" t="s">
        <v>24</v>
      </c>
      <c r="AE2" t="s">
        <v>25</v>
      </c>
    </row>
    <row r="3" spans="1:31" x14ac:dyDescent="0.25">
      <c r="A3" s="2">
        <v>33603</v>
      </c>
      <c r="B3">
        <v>76.430000000000007</v>
      </c>
      <c r="C3">
        <v>-50.572000000000003</v>
      </c>
      <c r="D3">
        <v>-54.204999999999998</v>
      </c>
      <c r="E3">
        <v>1.7090000000000001</v>
      </c>
      <c r="F3">
        <v>-26.638000000000002</v>
      </c>
      <c r="G3">
        <v>1585.8</v>
      </c>
      <c r="J3">
        <v>1991</v>
      </c>
      <c r="K3" s="1">
        <f>B3/$G3*100</f>
        <v>4.819649388321352</v>
      </c>
      <c r="L3" s="1">
        <f>C3/$G3*100</f>
        <v>-3.1890528439904151</v>
      </c>
      <c r="M3" s="1">
        <f>D3/$G3*100</f>
        <v>-3.4181485685458446</v>
      </c>
      <c r="N3" s="1">
        <f>E3/$G3*100</f>
        <v>0.10776894942615715</v>
      </c>
      <c r="O3" s="1">
        <f>F3/$G3*100</f>
        <v>-1.6797830747887501</v>
      </c>
      <c r="P3" s="1"/>
      <c r="Q3" s="1">
        <f>K3+L3</f>
        <v>1.6305965443309369</v>
      </c>
      <c r="R3" s="1">
        <f>Q3+N3</f>
        <v>1.738365493757094</v>
      </c>
      <c r="S3" s="1"/>
      <c r="T3" s="1">
        <f>K3+N3</f>
        <v>4.9274183377475094</v>
      </c>
      <c r="U3" s="1"/>
      <c r="W3" s="1"/>
    </row>
    <row r="4" spans="1:31" x14ac:dyDescent="0.25">
      <c r="A4" s="2">
        <v>33969</v>
      </c>
      <c r="B4">
        <v>79.010000000000005</v>
      </c>
      <c r="C4">
        <v>-44.338999999999999</v>
      </c>
      <c r="D4">
        <v>-61.482999999999997</v>
      </c>
      <c r="E4">
        <v>5.0739999999999998</v>
      </c>
      <c r="F4">
        <v>-21.738</v>
      </c>
      <c r="G4">
        <v>1702.06</v>
      </c>
      <c r="J4">
        <v>1992</v>
      </c>
      <c r="K4" s="1">
        <f>B4/$G4*100</f>
        <v>4.6420220203753102</v>
      </c>
      <c r="L4" s="1">
        <f>C4/$G4*100</f>
        <v>-2.6050197995370317</v>
      </c>
      <c r="M4" s="1">
        <f>D4/$G4*100</f>
        <v>-3.6122698377260494</v>
      </c>
      <c r="N4" s="1">
        <f>E4/$G4*100</f>
        <v>0.29810934984665644</v>
      </c>
      <c r="O4" s="1">
        <f>F4/$G4*100</f>
        <v>-1.2771582670411148</v>
      </c>
      <c r="P4" s="1"/>
      <c r="Q4" s="1">
        <f t="shared" ref="Q4:Q31" si="0">K4+L4</f>
        <v>2.0370022208382785</v>
      </c>
      <c r="R4" s="1">
        <f t="shared" ref="R4:R31" si="1">Q4+N4</f>
        <v>2.3351115706849348</v>
      </c>
      <c r="S4" s="1"/>
      <c r="T4" s="1">
        <f t="shared" ref="T4:T31" si="2">K4+N4</f>
        <v>4.9401313702219669</v>
      </c>
      <c r="U4" s="1"/>
      <c r="V4" s="1">
        <f t="shared" ref="V4:V31" si="3">O4-O3</f>
        <v>0.40262480774763532</v>
      </c>
      <c r="W4" s="1">
        <f>K4-K3</f>
        <v>-0.17762736794604184</v>
      </c>
      <c r="X4" s="1">
        <f>L4-L3</f>
        <v>0.58403304445338344</v>
      </c>
      <c r="Y4" s="1">
        <f>M4-M3</f>
        <v>-0.19412126918020478</v>
      </c>
      <c r="Z4" s="1">
        <f>N4-N3</f>
        <v>0.19034040042049927</v>
      </c>
      <c r="AA4" s="1"/>
      <c r="AB4" s="1">
        <f>W4/$V4</f>
        <v>-0.44117343126402292</v>
      </c>
      <c r="AC4" s="1">
        <f>X4/$V4</f>
        <v>1.4505639821862506</v>
      </c>
      <c r="AD4" s="1">
        <f>Y4/$V4</f>
        <v>-0.48213936509813804</v>
      </c>
      <c r="AE4" s="1">
        <f>Z4/$V4</f>
        <v>0.4727488141759123</v>
      </c>
    </row>
    <row r="5" spans="1:31" x14ac:dyDescent="0.25">
      <c r="A5" s="2">
        <v>34334</v>
      </c>
      <c r="B5">
        <v>72.459999999999994</v>
      </c>
      <c r="C5">
        <v>-54.189</v>
      </c>
      <c r="D5">
        <v>-43.44</v>
      </c>
      <c r="E5">
        <v>7.2619999999999996</v>
      </c>
      <c r="F5">
        <v>-17.907</v>
      </c>
      <c r="G5">
        <v>1750.89</v>
      </c>
      <c r="J5">
        <v>1993</v>
      </c>
      <c r="K5" s="1">
        <f>B5/$G5*100</f>
        <v>4.1384667226382001</v>
      </c>
      <c r="L5" s="1">
        <f>C5/$G5*100</f>
        <v>-3.0949402875109229</v>
      </c>
      <c r="M5" s="1">
        <f>D5/$G5*100</f>
        <v>-2.48102393639806</v>
      </c>
      <c r="N5" s="1">
        <f>E5/$G5*100</f>
        <v>0.41476049323486908</v>
      </c>
      <c r="O5" s="1">
        <f>F5/$G5*100</f>
        <v>-1.0227370080359131</v>
      </c>
      <c r="P5" s="1"/>
      <c r="Q5" s="1">
        <f t="shared" si="0"/>
        <v>1.0435264351272773</v>
      </c>
      <c r="R5" s="1">
        <f t="shared" si="1"/>
        <v>1.4582869283621465</v>
      </c>
      <c r="S5" s="1"/>
      <c r="T5" s="1">
        <f t="shared" si="2"/>
        <v>4.5532272158730693</v>
      </c>
      <c r="U5" s="1"/>
      <c r="V5" s="1">
        <f t="shared" si="3"/>
        <v>0.25442125900520174</v>
      </c>
      <c r="W5" s="1">
        <f t="shared" ref="W5:W31" si="4">K5-K4</f>
        <v>-0.50355529773711005</v>
      </c>
      <c r="X5" s="1">
        <f t="shared" ref="X5:X31" si="5">L5-L4</f>
        <v>-0.48992048797389121</v>
      </c>
      <c r="Y5" s="1">
        <f t="shared" ref="Y5:Y31" si="6">M5-M4</f>
        <v>1.1312459013279894</v>
      </c>
      <c r="Z5" s="1">
        <f t="shared" ref="Z5:Z31" si="7">N5-N4</f>
        <v>0.11665114338821264</v>
      </c>
      <c r="AA5" s="1"/>
      <c r="AB5" s="1">
        <f t="shared" ref="AB5:AB31" si="8">W5/$V5</f>
        <v>-1.9792186380416217</v>
      </c>
      <c r="AC5" s="1">
        <f t="shared" ref="AC5:AC31" si="9">X5/$V5</f>
        <v>-1.9256271661004343</v>
      </c>
      <c r="AD5" s="1">
        <f t="shared" ref="AD5:AD31" si="10">Y5/$V5</f>
        <v>4.4463497498251927</v>
      </c>
      <c r="AE5" s="1">
        <f t="shared" ref="AE5:AE31" si="11">Z5/$V5</f>
        <v>0.45849605431685903</v>
      </c>
    </row>
    <row r="6" spans="1:31" x14ac:dyDescent="0.25">
      <c r="A6" s="2">
        <v>34699</v>
      </c>
      <c r="B6">
        <v>51.84</v>
      </c>
      <c r="C6">
        <v>-46.174999999999997</v>
      </c>
      <c r="D6">
        <v>-33.97</v>
      </c>
      <c r="E6">
        <v>-0.48199999999999998</v>
      </c>
      <c r="F6">
        <v>-28.786999999999999</v>
      </c>
      <c r="G6">
        <v>1829.55</v>
      </c>
      <c r="J6">
        <v>1994</v>
      </c>
      <c r="K6" s="1">
        <f>B6/$G6*100</f>
        <v>2.8334836435188984</v>
      </c>
      <c r="L6" s="1">
        <f>C6/$G6*100</f>
        <v>-2.5238446612554997</v>
      </c>
      <c r="M6" s="1">
        <f>D6/$G6*100</f>
        <v>-1.856740728594463</v>
      </c>
      <c r="N6" s="1">
        <f>E6/$G6*100</f>
        <v>-2.6345276160804568E-2</v>
      </c>
      <c r="O6" s="1">
        <f>F6/$G6*100</f>
        <v>-1.5734470224918695</v>
      </c>
      <c r="P6" s="1"/>
      <c r="Q6" s="1">
        <f t="shared" si="0"/>
        <v>0.3096389822633987</v>
      </c>
      <c r="R6" s="1">
        <f t="shared" si="1"/>
        <v>0.28329370610259413</v>
      </c>
      <c r="S6" s="1"/>
      <c r="T6" s="1">
        <f t="shared" si="2"/>
        <v>2.8071383673580939</v>
      </c>
      <c r="U6" s="1"/>
      <c r="V6" s="1">
        <f t="shared" si="3"/>
        <v>-0.55071001445595646</v>
      </c>
      <c r="W6" s="1">
        <f t="shared" si="4"/>
        <v>-1.3049830791193018</v>
      </c>
      <c r="X6" s="1">
        <f t="shared" si="5"/>
        <v>0.57109562625542321</v>
      </c>
      <c r="Y6" s="1">
        <f t="shared" si="6"/>
        <v>0.62428320780359692</v>
      </c>
      <c r="Z6" s="1">
        <f t="shared" si="7"/>
        <v>-0.44110576939567364</v>
      </c>
      <c r="AA6" s="1"/>
      <c r="AB6" s="1">
        <f t="shared" si="8"/>
        <v>2.3696374586695828</v>
      </c>
      <c r="AC6" s="1">
        <f t="shared" si="9"/>
        <v>-1.0370169622203176</v>
      </c>
      <c r="AD6" s="1">
        <f t="shared" si="10"/>
        <v>-1.1335969773862258</v>
      </c>
      <c r="AE6" s="1">
        <f t="shared" si="11"/>
        <v>0.80097648093695861</v>
      </c>
    </row>
    <row r="7" spans="1:31" x14ac:dyDescent="0.25">
      <c r="A7" s="2">
        <v>35064</v>
      </c>
      <c r="B7">
        <v>56.79</v>
      </c>
      <c r="C7">
        <v>-178.70400000000001</v>
      </c>
      <c r="D7">
        <v>91.346999999999994</v>
      </c>
      <c r="E7">
        <v>4.577</v>
      </c>
      <c r="F7">
        <v>-25.99</v>
      </c>
      <c r="G7">
        <v>1894.61</v>
      </c>
      <c r="I7" t="s">
        <v>18</v>
      </c>
      <c r="J7">
        <v>1995</v>
      </c>
      <c r="K7" s="1">
        <f>B7/$G7*100</f>
        <v>2.9974506626693622</v>
      </c>
      <c r="L7" s="1">
        <f>C7/$G7*100</f>
        <v>-9.4322314354933212</v>
      </c>
      <c r="M7" s="1">
        <f>D7/$G7*100</f>
        <v>4.8214144335773588</v>
      </c>
      <c r="N7" s="1">
        <f>E7/$G7*100</f>
        <v>0.24158006133188364</v>
      </c>
      <c r="O7" s="1">
        <f>F7/$G7*100</f>
        <v>-1.3717862779147159</v>
      </c>
      <c r="P7" s="1"/>
      <c r="Q7" s="1">
        <f t="shared" si="0"/>
        <v>-6.4347807728239594</v>
      </c>
      <c r="R7" s="1">
        <f t="shared" si="1"/>
        <v>-6.193200711492076</v>
      </c>
      <c r="S7" s="1"/>
      <c r="T7" s="1">
        <f t="shared" si="2"/>
        <v>3.2390307240012457</v>
      </c>
      <c r="U7" s="1"/>
      <c r="V7" s="1">
        <f t="shared" si="3"/>
        <v>0.20166074457715366</v>
      </c>
      <c r="W7" s="1">
        <f t="shared" si="4"/>
        <v>0.16396701915046386</v>
      </c>
      <c r="X7" s="1">
        <f t="shared" si="5"/>
        <v>-6.9083867742378215</v>
      </c>
      <c r="Y7" s="1">
        <f t="shared" si="6"/>
        <v>6.678155162171822</v>
      </c>
      <c r="Z7" s="1">
        <f t="shared" si="7"/>
        <v>0.26792533749268821</v>
      </c>
      <c r="AA7" s="1"/>
      <c r="AB7" s="1">
        <f t="shared" si="8"/>
        <v>0.81308347588556829</v>
      </c>
      <c r="AC7" s="1">
        <f t="shared" si="9"/>
        <v>-34.257469339030095</v>
      </c>
      <c r="AD7" s="1">
        <f t="shared" si="10"/>
        <v>33.115791455469996</v>
      </c>
      <c r="AE7" s="1">
        <f t="shared" si="11"/>
        <v>1.3285944076745302</v>
      </c>
    </row>
    <row r="8" spans="1:31" x14ac:dyDescent="0.25">
      <c r="A8" s="2">
        <v>35430</v>
      </c>
      <c r="B8">
        <v>61.73</v>
      </c>
      <c r="C8">
        <v>-68.600999999999999</v>
      </c>
      <c r="D8">
        <v>-14.821999999999999</v>
      </c>
      <c r="E8">
        <v>5.806</v>
      </c>
      <c r="F8">
        <v>-15.887</v>
      </c>
      <c r="G8">
        <v>1921.38</v>
      </c>
      <c r="J8">
        <v>1996</v>
      </c>
      <c r="K8" s="1">
        <f>B8/$G8*100</f>
        <v>3.2127949702817764</v>
      </c>
      <c r="L8" s="1">
        <f>C8/$G8*100</f>
        <v>-3.5704025231864596</v>
      </c>
      <c r="M8" s="1">
        <f>D8/$G8*100</f>
        <v>-0.77142470515983297</v>
      </c>
      <c r="N8" s="1">
        <f>E8/$G8*100</f>
        <v>0.30217864243408382</v>
      </c>
      <c r="O8" s="1">
        <f>F8/$G8*100</f>
        <v>-0.82685361563043214</v>
      </c>
      <c r="P8" s="1"/>
      <c r="Q8" s="1">
        <f t="shared" si="0"/>
        <v>-0.35760755290468316</v>
      </c>
      <c r="R8" s="1">
        <f t="shared" si="1"/>
        <v>-5.5428910470599335E-2</v>
      </c>
      <c r="S8" s="1"/>
      <c r="T8" s="1">
        <f t="shared" si="2"/>
        <v>3.5149736127158602</v>
      </c>
      <c r="U8" s="1"/>
      <c r="V8" s="1">
        <f t="shared" si="3"/>
        <v>0.54493266228428372</v>
      </c>
      <c r="W8" s="1">
        <f t="shared" si="4"/>
        <v>0.21534430761241419</v>
      </c>
      <c r="X8" s="1">
        <f t="shared" si="5"/>
        <v>5.8618289123068621</v>
      </c>
      <c r="Y8" s="1">
        <f t="shared" si="6"/>
        <v>-5.5928391387371921</v>
      </c>
      <c r="Z8" s="1">
        <f t="shared" si="7"/>
        <v>6.0598581102200177E-2</v>
      </c>
      <c r="AA8" s="1"/>
      <c r="AB8" s="1">
        <f t="shared" si="8"/>
        <v>0.3951759960757722</v>
      </c>
      <c r="AC8" s="1">
        <f t="shared" si="9"/>
        <v>10.75697846360479</v>
      </c>
      <c r="AD8" s="1">
        <f t="shared" si="10"/>
        <v>-10.263358256583061</v>
      </c>
      <c r="AE8" s="1">
        <f t="shared" si="11"/>
        <v>0.11120379690250012</v>
      </c>
    </row>
    <row r="9" spans="1:31" x14ac:dyDescent="0.25">
      <c r="A9" s="2">
        <v>35795</v>
      </c>
      <c r="B9">
        <v>62.82</v>
      </c>
      <c r="C9">
        <v>-57.698999999999998</v>
      </c>
      <c r="D9">
        <v>-16.085000000000001</v>
      </c>
      <c r="E9">
        <v>-0.217</v>
      </c>
      <c r="F9">
        <v>-11.180999999999999</v>
      </c>
      <c r="G9">
        <v>1961.15</v>
      </c>
      <c r="J9">
        <v>1997</v>
      </c>
      <c r="K9" s="1">
        <f>B9/$G9*100</f>
        <v>3.2032225989852892</v>
      </c>
      <c r="L9" s="1">
        <f>C9/$G9*100</f>
        <v>-2.9421002982943678</v>
      </c>
      <c r="M9" s="1">
        <f>D9/$G9*100</f>
        <v>-0.82018203605027673</v>
      </c>
      <c r="N9" s="1">
        <f>E9/$G9*100</f>
        <v>-1.1064936389363383E-2</v>
      </c>
      <c r="O9" s="1">
        <f>F9/$G9*100</f>
        <v>-0.57012467174871873</v>
      </c>
      <c r="P9" s="1"/>
      <c r="Q9" s="1">
        <f t="shared" si="0"/>
        <v>0.26112230069092135</v>
      </c>
      <c r="R9" s="1">
        <f t="shared" si="1"/>
        <v>0.25005736430155795</v>
      </c>
      <c r="S9" s="1"/>
      <c r="T9" s="1">
        <f t="shared" si="2"/>
        <v>3.1921576625959256</v>
      </c>
      <c r="U9" s="1"/>
      <c r="V9" s="1">
        <f t="shared" si="3"/>
        <v>0.25672894388171341</v>
      </c>
      <c r="W9" s="1">
        <f t="shared" si="4"/>
        <v>-9.5723712964872476E-3</v>
      </c>
      <c r="X9" s="1">
        <f t="shared" si="5"/>
        <v>0.62830222489209175</v>
      </c>
      <c r="Y9" s="1">
        <f t="shared" si="6"/>
        <v>-4.8757330890443762E-2</v>
      </c>
      <c r="Z9" s="1">
        <f t="shared" si="7"/>
        <v>-0.31324357882344722</v>
      </c>
      <c r="AA9" s="1"/>
      <c r="AB9" s="1">
        <f t="shared" si="8"/>
        <v>-3.7285906106861368E-2</v>
      </c>
      <c r="AC9" s="1">
        <f t="shared" si="9"/>
        <v>2.4473369281711332</v>
      </c>
      <c r="AD9" s="1">
        <f t="shared" si="10"/>
        <v>-0.18991754553747731</v>
      </c>
      <c r="AE9" s="1">
        <f t="shared" si="11"/>
        <v>-1.2201334765267942</v>
      </c>
    </row>
    <row r="10" spans="1:31" x14ac:dyDescent="0.25">
      <c r="A10" s="2">
        <v>36160</v>
      </c>
      <c r="B10">
        <v>68.040000000000006</v>
      </c>
      <c r="C10">
        <v>-51.707999999999998</v>
      </c>
      <c r="D10">
        <v>-19.146000000000001</v>
      </c>
      <c r="E10">
        <v>-12.727</v>
      </c>
      <c r="F10">
        <v>-15.541</v>
      </c>
      <c r="G10">
        <v>2014.42</v>
      </c>
      <c r="J10">
        <v>1998</v>
      </c>
      <c r="K10" s="1">
        <f>B10/$G10*100</f>
        <v>3.3776471639479353</v>
      </c>
      <c r="L10" s="1">
        <f>C10/$G10*100</f>
        <v>-2.5668927036069933</v>
      </c>
      <c r="M10" s="1">
        <f>D10/$G10*100</f>
        <v>-0.95044727514619587</v>
      </c>
      <c r="N10" s="1">
        <f>E10/$G10*100</f>
        <v>-0.63179475978197197</v>
      </c>
      <c r="O10" s="1">
        <f>F10/$G10*100</f>
        <v>-0.77148757458722605</v>
      </c>
      <c r="P10" s="1"/>
      <c r="Q10" s="1">
        <f t="shared" si="0"/>
        <v>0.81075446034094201</v>
      </c>
      <c r="R10" s="1">
        <f t="shared" si="1"/>
        <v>0.17895970055897004</v>
      </c>
      <c r="S10" s="1"/>
      <c r="T10" s="1">
        <f t="shared" si="2"/>
        <v>2.7458524041659631</v>
      </c>
      <c r="U10" s="1"/>
      <c r="V10" s="1">
        <f t="shared" si="3"/>
        <v>-0.20136290283850733</v>
      </c>
      <c r="W10" s="1">
        <f t="shared" si="4"/>
        <v>0.17442456496264613</v>
      </c>
      <c r="X10" s="1">
        <f t="shared" si="5"/>
        <v>0.37520759468737452</v>
      </c>
      <c r="Y10" s="1">
        <f t="shared" si="6"/>
        <v>-0.13026523909591914</v>
      </c>
      <c r="Z10" s="1">
        <f t="shared" si="7"/>
        <v>-0.62072982339260863</v>
      </c>
      <c r="AA10" s="1"/>
      <c r="AB10" s="1">
        <f t="shared" si="8"/>
        <v>-0.86621995662495144</v>
      </c>
      <c r="AC10" s="1">
        <f t="shared" si="9"/>
        <v>-1.8633402150955796</v>
      </c>
      <c r="AD10" s="1">
        <f t="shared" si="10"/>
        <v>0.64691776518732258</v>
      </c>
      <c r="AE10" s="1">
        <f t="shared" si="11"/>
        <v>3.0826424065332074</v>
      </c>
    </row>
    <row r="11" spans="1:31" x14ac:dyDescent="0.25">
      <c r="A11" s="2">
        <v>36525</v>
      </c>
      <c r="B11">
        <v>69.44</v>
      </c>
      <c r="C11">
        <v>-35.406999999999996</v>
      </c>
      <c r="D11">
        <v>-76.603999999999999</v>
      </c>
      <c r="E11">
        <v>12.247</v>
      </c>
      <c r="F11">
        <v>-30.324000000000002</v>
      </c>
      <c r="G11">
        <v>2059.48</v>
      </c>
      <c r="J11">
        <v>1999</v>
      </c>
      <c r="K11" s="1">
        <f>B11/$G11*100</f>
        <v>3.371724901431429</v>
      </c>
      <c r="L11" s="1">
        <f>C11/$G11*100</f>
        <v>-1.7192203857284361</v>
      </c>
      <c r="M11" s="1">
        <f>D11/$G11*100</f>
        <v>-3.7195796997300286</v>
      </c>
      <c r="N11" s="1">
        <f>E11/$G11*100</f>
        <v>0.59466467263581102</v>
      </c>
      <c r="O11" s="1">
        <f>F11/$G11*100</f>
        <v>-1.4724105113912251</v>
      </c>
      <c r="P11" s="1"/>
      <c r="Q11" s="1">
        <f t="shared" si="0"/>
        <v>1.6525045157029929</v>
      </c>
      <c r="R11" s="1">
        <f t="shared" si="1"/>
        <v>2.2471691883388041</v>
      </c>
      <c r="S11" s="1"/>
      <c r="T11" s="1">
        <f t="shared" si="2"/>
        <v>3.9663895740672399</v>
      </c>
      <c r="U11" s="1"/>
      <c r="V11" s="1">
        <f t="shared" si="3"/>
        <v>-0.70092293680399909</v>
      </c>
      <c r="W11" s="1">
        <f t="shared" si="4"/>
        <v>-5.9222625165062937E-3</v>
      </c>
      <c r="X11" s="1">
        <f t="shared" si="5"/>
        <v>0.84767231787855724</v>
      </c>
      <c r="Y11" s="1">
        <f t="shared" si="6"/>
        <v>-2.7691324245838329</v>
      </c>
      <c r="Z11" s="1">
        <f t="shared" si="7"/>
        <v>1.2264594324177831</v>
      </c>
      <c r="AA11" s="1"/>
      <c r="AB11" s="1">
        <f t="shared" si="8"/>
        <v>8.4492348666888491E-3</v>
      </c>
      <c r="AC11" s="1">
        <f t="shared" si="9"/>
        <v>-1.2093659279345199</v>
      </c>
      <c r="AD11" s="1">
        <f t="shared" si="10"/>
        <v>3.9506945474066755</v>
      </c>
      <c r="AE11" s="1">
        <f t="shared" si="11"/>
        <v>-1.7497778543388447</v>
      </c>
    </row>
    <row r="12" spans="1:31" x14ac:dyDescent="0.25">
      <c r="A12" s="2">
        <v>36891</v>
      </c>
      <c r="B12">
        <v>75.37</v>
      </c>
      <c r="C12">
        <v>-33.421999999999997</v>
      </c>
      <c r="D12">
        <v>-86.388999999999996</v>
      </c>
      <c r="E12">
        <v>3.3980000000000001</v>
      </c>
      <c r="F12">
        <v>-41.042999999999999</v>
      </c>
      <c r="G12">
        <v>2109.09</v>
      </c>
      <c r="J12">
        <v>2000</v>
      </c>
      <c r="K12" s="1">
        <f>B12/$G12*100</f>
        <v>3.5735791265427266</v>
      </c>
      <c r="L12" s="1">
        <f>C12/$G12*100</f>
        <v>-1.5846644761484809</v>
      </c>
      <c r="M12" s="1">
        <f>D12/$G12*100</f>
        <v>-4.0960319379448</v>
      </c>
      <c r="N12" s="1">
        <f>E12/$G12*100</f>
        <v>0.16111213841040448</v>
      </c>
      <c r="O12" s="1">
        <f>F12/$G12*100</f>
        <v>-1.9460051491401502</v>
      </c>
      <c r="P12" s="1"/>
      <c r="Q12" s="1">
        <f t="shared" si="0"/>
        <v>1.9889146503942456</v>
      </c>
      <c r="R12" s="1">
        <f t="shared" si="1"/>
        <v>2.15002678880465</v>
      </c>
      <c r="S12" s="1"/>
      <c r="T12" s="1">
        <f t="shared" si="2"/>
        <v>3.7346912649531312</v>
      </c>
      <c r="U12" s="1"/>
      <c r="V12" s="1">
        <f t="shared" si="3"/>
        <v>-0.47359463774892507</v>
      </c>
      <c r="W12" s="1">
        <f t="shared" si="4"/>
        <v>0.20185422511129758</v>
      </c>
      <c r="X12" s="1">
        <f t="shared" si="5"/>
        <v>0.13455590957995511</v>
      </c>
      <c r="Y12" s="1">
        <f t="shared" si="6"/>
        <v>-0.37645223821477147</v>
      </c>
      <c r="Z12" s="1">
        <f t="shared" si="7"/>
        <v>-0.43355253422540652</v>
      </c>
      <c r="AA12" s="1"/>
      <c r="AB12" s="1">
        <f t="shared" si="8"/>
        <v>-0.42621729433159261</v>
      </c>
      <c r="AC12" s="1">
        <f t="shared" si="9"/>
        <v>-0.28411620160971834</v>
      </c>
      <c r="AD12" s="1">
        <f t="shared" si="10"/>
        <v>0.79488281371620306</v>
      </c>
      <c r="AE12" s="1">
        <f t="shared" si="11"/>
        <v>0.91545068222510839</v>
      </c>
    </row>
    <row r="13" spans="1:31" x14ac:dyDescent="0.25">
      <c r="A13" s="2">
        <v>37256</v>
      </c>
      <c r="B13">
        <v>97.3</v>
      </c>
      <c r="C13">
        <v>-65.728999999999999</v>
      </c>
      <c r="D13">
        <v>-45.582999999999998</v>
      </c>
      <c r="E13">
        <v>2.9119999999999999</v>
      </c>
      <c r="F13">
        <v>-11.1</v>
      </c>
      <c r="G13">
        <v>2172.54</v>
      </c>
      <c r="J13">
        <v>2001</v>
      </c>
      <c r="K13" s="1">
        <f>B13/$G13*100</f>
        <v>4.4786287018881126</v>
      </c>
      <c r="L13" s="8">
        <f>C13/$G13*100</f>
        <v>-3.0254448709805115</v>
      </c>
      <c r="M13" s="1">
        <f>D13/$G13*100</f>
        <v>-2.0981431872370586</v>
      </c>
      <c r="N13" s="1">
        <f>E13/$G13*100</f>
        <v>0.13403665755291042</v>
      </c>
      <c r="O13" s="1">
        <f>F13/$G13*100</f>
        <v>-0.51092269877654728</v>
      </c>
      <c r="P13" s="1"/>
      <c r="Q13" s="1">
        <f t="shared" si="0"/>
        <v>1.4531838309076011</v>
      </c>
      <c r="R13" s="1">
        <f t="shared" si="1"/>
        <v>1.5872204884605114</v>
      </c>
      <c r="S13" s="1"/>
      <c r="T13" s="1">
        <f t="shared" si="2"/>
        <v>4.6126653594410234</v>
      </c>
      <c r="U13" s="1"/>
      <c r="V13" s="1">
        <f t="shared" si="3"/>
        <v>1.4350824503636028</v>
      </c>
      <c r="W13" s="1">
        <f t="shared" si="4"/>
        <v>0.90504957534538599</v>
      </c>
      <c r="X13" s="1">
        <f t="shared" si="5"/>
        <v>-1.4407803948320306</v>
      </c>
      <c r="Y13" s="1">
        <f t="shared" si="6"/>
        <v>1.9978887507077414</v>
      </c>
      <c r="Z13" s="1">
        <f t="shared" si="7"/>
        <v>-2.7075480857494061E-2</v>
      </c>
      <c r="AA13" s="1"/>
      <c r="AB13" s="1">
        <f t="shared" si="8"/>
        <v>0.6306603325238046</v>
      </c>
      <c r="AC13" s="1">
        <f t="shared" si="9"/>
        <v>-1.0039704648795504</v>
      </c>
      <c r="AD13" s="1">
        <f t="shared" si="10"/>
        <v>1.3921769792401419</v>
      </c>
      <c r="AE13" s="1">
        <f t="shared" si="11"/>
        <v>-1.8866846884396101E-2</v>
      </c>
    </row>
    <row r="14" spans="1:31" x14ac:dyDescent="0.25">
      <c r="A14" s="2">
        <v>37621</v>
      </c>
      <c r="B14">
        <v>101.25</v>
      </c>
      <c r="C14">
        <v>-85.177000000000007</v>
      </c>
      <c r="D14">
        <v>19.338000000000001</v>
      </c>
      <c r="E14">
        <v>1.6459999999999999</v>
      </c>
      <c r="F14">
        <v>37.057000000000002</v>
      </c>
      <c r="G14">
        <v>2198.12</v>
      </c>
      <c r="J14">
        <v>2002</v>
      </c>
      <c r="K14" s="1">
        <f>B14/$G14*100</f>
        <v>4.6062089421869601</v>
      </c>
      <c r="L14" s="8">
        <f>C14/$G14*100</f>
        <v>-3.8749931759867531</v>
      </c>
      <c r="M14" s="1">
        <f>D14/$G14*100</f>
        <v>0.8797517878914709</v>
      </c>
      <c r="N14" s="1">
        <f>E14/$G14*100</f>
        <v>7.4882172037923314E-2</v>
      </c>
      <c r="O14" s="1">
        <f>F14/$G14*100</f>
        <v>1.6858497261296019</v>
      </c>
      <c r="P14" s="1"/>
      <c r="Q14" s="1">
        <f t="shared" si="0"/>
        <v>0.73121576620020701</v>
      </c>
      <c r="R14" s="1">
        <f t="shared" si="1"/>
        <v>0.80609793823813036</v>
      </c>
      <c r="S14" s="1"/>
      <c r="T14" s="1">
        <f t="shared" si="2"/>
        <v>4.6810911142248832</v>
      </c>
      <c r="U14" s="1"/>
      <c r="V14" s="1">
        <f t="shared" si="3"/>
        <v>2.1967724249061491</v>
      </c>
      <c r="W14" s="1">
        <f t="shared" si="4"/>
        <v>0.12758024029884751</v>
      </c>
      <c r="X14" s="1">
        <f t="shared" si="5"/>
        <v>-0.84954830500624157</v>
      </c>
      <c r="Y14" s="1">
        <f t="shared" si="6"/>
        <v>2.9778949751285295</v>
      </c>
      <c r="Z14" s="1">
        <f t="shared" si="7"/>
        <v>-5.9154485514987101E-2</v>
      </c>
      <c r="AA14" s="1"/>
      <c r="AB14" s="1">
        <f t="shared" si="8"/>
        <v>5.807622075568343E-2</v>
      </c>
      <c r="AC14" s="1">
        <f t="shared" si="9"/>
        <v>-0.38672567780549055</v>
      </c>
      <c r="AD14" s="1">
        <f t="shared" si="10"/>
        <v>1.3555773649406364</v>
      </c>
      <c r="AE14" s="1">
        <f t="shared" si="11"/>
        <v>-2.6927907890829571E-2</v>
      </c>
    </row>
    <row r="15" spans="1:31" x14ac:dyDescent="0.25">
      <c r="A15" s="2">
        <v>37986</v>
      </c>
      <c r="B15">
        <v>125.1</v>
      </c>
      <c r="C15">
        <v>-81.921000000000006</v>
      </c>
      <c r="D15">
        <v>-18.556000000000001</v>
      </c>
      <c r="E15">
        <v>12.208</v>
      </c>
      <c r="F15">
        <v>36.831000000000003</v>
      </c>
      <c r="G15">
        <v>2211.5700000000002</v>
      </c>
      <c r="J15">
        <v>2003</v>
      </c>
      <c r="K15" s="1">
        <f>B15/$G15*100</f>
        <v>5.6566149839254463</v>
      </c>
      <c r="L15" s="8">
        <f>C15/$G15*100</f>
        <v>-3.7042010879149205</v>
      </c>
      <c r="M15" s="1">
        <f>D15/$G15*100</f>
        <v>-0.83904194757570405</v>
      </c>
      <c r="N15" s="1">
        <f>E15/$G15*100</f>
        <v>0.55200604095732897</v>
      </c>
      <c r="O15" s="1">
        <f>F15/$G15*100</f>
        <v>1.6653779893921514</v>
      </c>
      <c r="P15" s="1"/>
      <c r="Q15" s="1">
        <f t="shared" si="0"/>
        <v>1.9524138960105257</v>
      </c>
      <c r="R15" s="1">
        <f t="shared" si="1"/>
        <v>2.5044199369678548</v>
      </c>
      <c r="S15" s="1"/>
      <c r="T15" s="1">
        <f t="shared" si="2"/>
        <v>6.2086210248827749</v>
      </c>
      <c r="U15" s="1"/>
      <c r="V15" s="1">
        <f t="shared" si="3"/>
        <v>-2.0471736737450508E-2</v>
      </c>
      <c r="W15" s="1">
        <f t="shared" si="4"/>
        <v>1.0504060417384862</v>
      </c>
      <c r="X15" s="1">
        <f t="shared" si="5"/>
        <v>0.17079208807183255</v>
      </c>
      <c r="Y15" s="1">
        <f t="shared" si="6"/>
        <v>-1.718793735467175</v>
      </c>
      <c r="Z15" s="1">
        <f t="shared" si="7"/>
        <v>0.47712386891940567</v>
      </c>
      <c r="AA15" s="1"/>
      <c r="AB15" s="1">
        <f t="shared" si="8"/>
        <v>-51.31006007013066</v>
      </c>
      <c r="AC15" s="1">
        <f t="shared" si="9"/>
        <v>-8.3428235846443641</v>
      </c>
      <c r="AD15" s="1">
        <f t="shared" si="10"/>
        <v>83.959351251467325</v>
      </c>
      <c r="AE15" s="1">
        <f t="shared" si="11"/>
        <v>-23.306467596692304</v>
      </c>
    </row>
    <row r="16" spans="1:31" x14ac:dyDescent="0.25">
      <c r="A16" s="2">
        <v>38352</v>
      </c>
      <c r="B16">
        <v>133.4</v>
      </c>
      <c r="C16">
        <v>-75.436000000000007</v>
      </c>
      <c r="D16">
        <v>29.282</v>
      </c>
      <c r="E16">
        <v>14.478</v>
      </c>
      <c r="F16">
        <v>101.724</v>
      </c>
      <c r="G16">
        <v>2262.52</v>
      </c>
      <c r="J16">
        <v>2004</v>
      </c>
      <c r="K16" s="1">
        <f>B16/$G16*100</f>
        <v>5.896080476636671</v>
      </c>
      <c r="L16" s="8">
        <f>C16/$G16*100</f>
        <v>-3.3341583720806893</v>
      </c>
      <c r="M16" s="1">
        <f>D16/$G16*100</f>
        <v>1.294220603574775</v>
      </c>
      <c r="N16" s="1">
        <f>E16/$G16*100</f>
        <v>0.63990594558280145</v>
      </c>
      <c r="O16" s="5">
        <f>F16/$G16*100</f>
        <v>4.4960486537135589</v>
      </c>
      <c r="P16" s="1"/>
      <c r="Q16" s="1">
        <f t="shared" si="0"/>
        <v>2.5619221045559817</v>
      </c>
      <c r="R16" s="1">
        <f t="shared" si="1"/>
        <v>3.2018280501387832</v>
      </c>
      <c r="S16" s="1"/>
      <c r="T16" s="1">
        <f t="shared" si="2"/>
        <v>6.5359864222194721</v>
      </c>
      <c r="U16" s="1"/>
      <c r="V16" s="1">
        <f t="shared" si="3"/>
        <v>2.8306706643214072</v>
      </c>
      <c r="W16" s="1">
        <f t="shared" si="4"/>
        <v>0.23946549271122475</v>
      </c>
      <c r="X16" s="1">
        <f t="shared" si="5"/>
        <v>0.37004271583423121</v>
      </c>
      <c r="Y16" s="1">
        <f t="shared" si="6"/>
        <v>2.1332625511504792</v>
      </c>
      <c r="Z16" s="1">
        <f t="shared" si="7"/>
        <v>8.789990462547248E-2</v>
      </c>
      <c r="AA16" s="1"/>
      <c r="AB16" s="1">
        <f t="shared" si="8"/>
        <v>8.459673381630621E-2</v>
      </c>
      <c r="AC16" s="1">
        <f t="shared" si="9"/>
        <v>0.13072616341362375</v>
      </c>
      <c r="AD16" s="1">
        <f t="shared" si="10"/>
        <v>0.75362442478340497</v>
      </c>
      <c r="AE16" s="1">
        <f t="shared" si="11"/>
        <v>3.1052677986665257E-2</v>
      </c>
    </row>
    <row r="17" spans="1:31" x14ac:dyDescent="0.25">
      <c r="A17" s="2">
        <v>38717</v>
      </c>
      <c r="B17">
        <v>144.69999999999999</v>
      </c>
      <c r="C17">
        <v>-75.959000000000003</v>
      </c>
      <c r="D17">
        <v>20.513999999999999</v>
      </c>
      <c r="E17">
        <v>16.027999999999999</v>
      </c>
      <c r="F17">
        <v>105.283</v>
      </c>
      <c r="G17">
        <v>2288.31</v>
      </c>
      <c r="J17" s="4">
        <v>2005</v>
      </c>
      <c r="K17" s="5">
        <f>B17/$G17*100</f>
        <v>6.3234439389767987</v>
      </c>
      <c r="L17" s="8">
        <f>C17/$G17*100</f>
        <v>-3.3194366147943244</v>
      </c>
      <c r="M17" s="1">
        <f>D17/$G17*100</f>
        <v>0.89646944688438179</v>
      </c>
      <c r="N17" s="1">
        <f>E17/$G17*100</f>
        <v>0.70042957466427191</v>
      </c>
      <c r="O17" s="1">
        <f>F17/$G17*100</f>
        <v>4.6009063457311292</v>
      </c>
      <c r="P17" s="1"/>
      <c r="Q17" s="5">
        <f t="shared" si="0"/>
        <v>3.0040073241824743</v>
      </c>
      <c r="R17" s="1">
        <f t="shared" si="1"/>
        <v>3.7044368988467462</v>
      </c>
      <c r="S17" s="1"/>
      <c r="T17" s="1">
        <f t="shared" si="2"/>
        <v>7.023873513641071</v>
      </c>
      <c r="U17" s="1"/>
      <c r="V17" s="1">
        <f t="shared" si="3"/>
        <v>0.10485769201757034</v>
      </c>
      <c r="W17" s="1">
        <f t="shared" si="4"/>
        <v>0.42736346234012768</v>
      </c>
      <c r="X17" s="1">
        <f t="shared" si="5"/>
        <v>1.4721757286364934E-2</v>
      </c>
      <c r="Y17" s="1">
        <f t="shared" si="6"/>
        <v>-0.39775115669039318</v>
      </c>
      <c r="Z17" s="1">
        <f t="shared" si="7"/>
        <v>6.0523629081470465E-2</v>
      </c>
      <c r="AA17" s="1"/>
      <c r="AB17" s="1">
        <f t="shared" si="8"/>
        <v>4.0756520014622968</v>
      </c>
      <c r="AC17" s="1">
        <f t="shared" si="9"/>
        <v>0.14039749495819631</v>
      </c>
      <c r="AD17" s="1">
        <f t="shared" si="10"/>
        <v>-3.7932472958087287</v>
      </c>
      <c r="AE17" s="1">
        <f t="shared" si="11"/>
        <v>0.5771977993882309</v>
      </c>
    </row>
    <row r="18" spans="1:31" x14ac:dyDescent="0.25">
      <c r="A18" s="2">
        <v>39082</v>
      </c>
      <c r="B18">
        <v>136.80000000000001</v>
      </c>
      <c r="C18">
        <v>-39.429000000000002</v>
      </c>
      <c r="D18">
        <v>10.933999999999999</v>
      </c>
      <c r="E18">
        <v>29.992000000000001</v>
      </c>
      <c r="F18">
        <v>138.297</v>
      </c>
      <c r="G18">
        <v>2385.08</v>
      </c>
      <c r="J18">
        <v>2006</v>
      </c>
      <c r="K18" s="1">
        <f>B18/$G18*100</f>
        <v>5.735656665604508</v>
      </c>
      <c r="L18" s="5">
        <f>C18/$G18*100</f>
        <v>-1.6531520955271943</v>
      </c>
      <c r="M18" s="1">
        <f>D18/$G18*100</f>
        <v>0.45843326010029012</v>
      </c>
      <c r="N18" s="1">
        <f>E18/$G18*100</f>
        <v>1.2574840256930586</v>
      </c>
      <c r="O18" s="1">
        <f>F18/$G18*100</f>
        <v>5.7984218558706626</v>
      </c>
      <c r="P18" s="1"/>
      <c r="Q18" s="5">
        <f t="shared" si="0"/>
        <v>4.0825045700773135</v>
      </c>
      <c r="R18" s="1">
        <f t="shared" si="1"/>
        <v>5.3399885957703717</v>
      </c>
      <c r="S18" s="1"/>
      <c r="T18" s="1">
        <f t="shared" si="2"/>
        <v>6.9931406912975671</v>
      </c>
      <c r="U18" s="1"/>
      <c r="V18" s="1">
        <f t="shared" si="3"/>
        <v>1.1975155101395334</v>
      </c>
      <c r="W18" s="1">
        <f t="shared" si="4"/>
        <v>-0.58778727337229064</v>
      </c>
      <c r="X18" s="1">
        <f t="shared" si="5"/>
        <v>1.6662845192671301</v>
      </c>
      <c r="Y18" s="1">
        <f t="shared" si="6"/>
        <v>-0.43803618678409167</v>
      </c>
      <c r="Z18" s="1">
        <f t="shared" si="7"/>
        <v>0.5570544510287867</v>
      </c>
      <c r="AA18" s="1"/>
      <c r="AB18" s="1">
        <f t="shared" si="8"/>
        <v>-0.4908389648362903</v>
      </c>
      <c r="AC18" s="1">
        <f t="shared" si="9"/>
        <v>1.3914513049379846</v>
      </c>
      <c r="AD18" s="1">
        <f t="shared" si="10"/>
        <v>-0.36578748506819098</v>
      </c>
      <c r="AE18" s="1">
        <f t="shared" si="11"/>
        <v>0.46517514496649753</v>
      </c>
    </row>
    <row r="19" spans="1:31" x14ac:dyDescent="0.25">
      <c r="A19" s="2">
        <v>39447</v>
      </c>
      <c r="B19">
        <v>136.19999999999999</v>
      </c>
      <c r="C19">
        <v>6.5209999999999999</v>
      </c>
      <c r="D19">
        <v>9.4429999999999996</v>
      </c>
      <c r="E19">
        <v>19.736000000000001</v>
      </c>
      <c r="F19">
        <v>171.9</v>
      </c>
      <c r="G19">
        <v>2499.5500000000002</v>
      </c>
      <c r="J19">
        <v>2007</v>
      </c>
      <c r="K19" s="1">
        <f>B19/$G19*100</f>
        <v>5.4489808165469782</v>
      </c>
      <c r="L19" s="5">
        <f>C19/$G19*100</f>
        <v>0.26088695965273745</v>
      </c>
      <c r="M19" s="1">
        <f>D19/$G19*100</f>
        <v>0.37778800184033123</v>
      </c>
      <c r="N19" s="1">
        <f>E19/$G19*100</f>
        <v>0.78958212478246093</v>
      </c>
      <c r="O19" s="1">
        <f>F19/$G19*100</f>
        <v>6.8772379028225084</v>
      </c>
      <c r="P19" s="1"/>
      <c r="Q19" s="5">
        <f t="shared" si="0"/>
        <v>5.7098677761997152</v>
      </c>
      <c r="R19" s="1">
        <f t="shared" si="1"/>
        <v>6.4994499009821762</v>
      </c>
      <c r="S19" s="1"/>
      <c r="T19" s="1">
        <f t="shared" si="2"/>
        <v>6.2385629413294392</v>
      </c>
      <c r="U19" s="1"/>
      <c r="V19" s="1">
        <f t="shared" si="3"/>
        <v>1.0788160469518457</v>
      </c>
      <c r="W19" s="1">
        <f t="shared" si="4"/>
        <v>-0.28667584905752985</v>
      </c>
      <c r="X19" s="1">
        <f t="shared" si="5"/>
        <v>1.9140390551799318</v>
      </c>
      <c r="Y19" s="1">
        <f t="shared" si="6"/>
        <v>-8.0645258259958885E-2</v>
      </c>
      <c r="Z19" s="1">
        <f t="shared" si="7"/>
        <v>-0.46790190091059769</v>
      </c>
      <c r="AA19" s="1"/>
      <c r="AB19" s="1">
        <f t="shared" si="8"/>
        <v>-0.2657319103358925</v>
      </c>
      <c r="AC19" s="1">
        <f t="shared" si="9"/>
        <v>1.7742033598665661</v>
      </c>
      <c r="AD19" s="1">
        <f t="shared" si="10"/>
        <v>-7.4753484143862181E-2</v>
      </c>
      <c r="AE19" s="1">
        <f t="shared" si="11"/>
        <v>-0.43371796538681173</v>
      </c>
    </row>
    <row r="20" spans="1:31" x14ac:dyDescent="0.25">
      <c r="A20" s="2">
        <v>39813</v>
      </c>
      <c r="B20">
        <v>137</v>
      </c>
      <c r="C20">
        <v>-2.9630000000000001</v>
      </c>
      <c r="D20">
        <v>-12.37</v>
      </c>
      <c r="E20">
        <v>19.268999999999998</v>
      </c>
      <c r="F20">
        <v>140.93600000000001</v>
      </c>
      <c r="G20">
        <v>2546.4899999999998</v>
      </c>
      <c r="J20">
        <v>2008</v>
      </c>
      <c r="K20" s="1">
        <f>B20/$G20*100</f>
        <v>5.3799543685622178</v>
      </c>
      <c r="L20" s="1">
        <f>C20/$G20*100</f>
        <v>-0.11635623937262665</v>
      </c>
      <c r="M20" s="1">
        <f>D20/$G20*100</f>
        <v>-0.48576668276726009</v>
      </c>
      <c r="N20" s="1">
        <f>E20/$G20*100</f>
        <v>0.75668861845127999</v>
      </c>
      <c r="O20" s="1">
        <f>F20/$G20*100</f>
        <v>5.534520064873611</v>
      </c>
      <c r="P20" s="1"/>
      <c r="Q20" s="5">
        <f t="shared" si="0"/>
        <v>5.2635981291895915</v>
      </c>
      <c r="R20" s="1">
        <f t="shared" si="1"/>
        <v>6.0202867476408715</v>
      </c>
      <c r="S20" s="1"/>
      <c r="T20" s="1">
        <f t="shared" si="2"/>
        <v>6.1366429870134978</v>
      </c>
      <c r="U20" s="1"/>
      <c r="V20" s="1">
        <f t="shared" si="3"/>
        <v>-1.3427178379488973</v>
      </c>
      <c r="W20" s="1">
        <f t="shared" si="4"/>
        <v>-6.9026447984760431E-2</v>
      </c>
      <c r="X20" s="1">
        <f t="shared" si="5"/>
        <v>-0.37724319902536407</v>
      </c>
      <c r="Y20" s="1">
        <f t="shared" si="6"/>
        <v>-0.86355468460759133</v>
      </c>
      <c r="Z20" s="1">
        <f t="shared" si="7"/>
        <v>-3.2893506331180933E-2</v>
      </c>
      <c r="AA20" s="1"/>
      <c r="AB20" s="1">
        <f t="shared" si="8"/>
        <v>5.1408006979488358E-2</v>
      </c>
      <c r="AC20" s="1">
        <f t="shared" si="9"/>
        <v>0.28095493212604628</v>
      </c>
      <c r="AD20" s="1">
        <f t="shared" si="10"/>
        <v>0.64313935526970889</v>
      </c>
      <c r="AE20" s="1">
        <f t="shared" si="11"/>
        <v>2.4497705624756012E-2</v>
      </c>
    </row>
    <row r="21" spans="1:31" x14ac:dyDescent="0.25">
      <c r="A21" s="2">
        <v>40178</v>
      </c>
      <c r="B21">
        <v>151.4</v>
      </c>
      <c r="C21">
        <v>-77.052999999999997</v>
      </c>
      <c r="D21">
        <v>69.338999999999999</v>
      </c>
      <c r="E21">
        <v>-0.7</v>
      </c>
      <c r="F21">
        <v>142.98599999999999</v>
      </c>
      <c r="G21">
        <v>2445.73</v>
      </c>
      <c r="J21">
        <v>2009</v>
      </c>
      <c r="K21" s="1">
        <f>B21/$G21*100</f>
        <v>6.1903807861047619</v>
      </c>
      <c r="L21" s="1">
        <f>C21/$G21*100</f>
        <v>-3.1505112992848758</v>
      </c>
      <c r="M21" s="5">
        <f>D21/$G21*100</f>
        <v>2.8351044473429199</v>
      </c>
      <c r="N21" s="1">
        <f>E21/$G21*100</f>
        <v>-2.862131142848965E-2</v>
      </c>
      <c r="O21" s="1">
        <f>F21/$G21*100</f>
        <v>5.8463526227343161</v>
      </c>
      <c r="P21" s="1"/>
      <c r="Q21" s="1">
        <f t="shared" si="0"/>
        <v>3.0398694868198861</v>
      </c>
      <c r="R21" s="1">
        <f t="shared" si="1"/>
        <v>3.0112481753913967</v>
      </c>
      <c r="S21" s="1"/>
      <c r="T21" s="1">
        <f t="shared" si="2"/>
        <v>6.1617594746762725</v>
      </c>
      <c r="U21" s="1"/>
      <c r="V21" s="1">
        <f t="shared" si="3"/>
        <v>0.31183255786070507</v>
      </c>
      <c r="W21" s="1">
        <f t="shared" si="4"/>
        <v>0.81042641754254419</v>
      </c>
      <c r="X21" s="1">
        <f t="shared" si="5"/>
        <v>-3.0341550599122491</v>
      </c>
      <c r="Y21" s="1">
        <f t="shared" si="6"/>
        <v>3.3208711301101799</v>
      </c>
      <c r="Z21" s="1">
        <f t="shared" si="7"/>
        <v>-0.78530992987976966</v>
      </c>
      <c r="AA21" s="1"/>
      <c r="AB21" s="1">
        <f t="shared" si="8"/>
        <v>2.5989153380980823</v>
      </c>
      <c r="AC21" s="1">
        <f t="shared" si="9"/>
        <v>-9.7300778364124501</v>
      </c>
      <c r="AD21" s="1">
        <f t="shared" si="10"/>
        <v>10.649533047134884</v>
      </c>
      <c r="AE21" s="1">
        <f t="shared" si="11"/>
        <v>-2.5183705488205175</v>
      </c>
    </row>
    <row r="22" spans="1:31" x14ac:dyDescent="0.25">
      <c r="A22" s="2">
        <v>40543</v>
      </c>
      <c r="B22">
        <v>148.6</v>
      </c>
      <c r="C22">
        <v>-112.286</v>
      </c>
      <c r="D22">
        <v>81.441000000000003</v>
      </c>
      <c r="E22">
        <v>32.094999999999999</v>
      </c>
      <c r="F22">
        <v>149.85</v>
      </c>
      <c r="G22">
        <v>2564.4</v>
      </c>
      <c r="J22">
        <v>2010</v>
      </c>
      <c r="K22" s="1">
        <f>B22/$G22*100</f>
        <v>5.794727811573857</v>
      </c>
      <c r="L22" s="1">
        <f>C22/$G22*100</f>
        <v>-4.3786460770550617</v>
      </c>
      <c r="M22" s="5">
        <f>D22/$G22*100</f>
        <v>3.175830603649977</v>
      </c>
      <c r="N22" s="1">
        <f>E22/$G22*100</f>
        <v>1.2515598190609889</v>
      </c>
      <c r="O22" s="1">
        <f>F22/$G22*100</f>
        <v>5.843472157229761</v>
      </c>
      <c r="P22" s="1"/>
      <c r="Q22" s="1">
        <f t="shared" si="0"/>
        <v>1.4160817345187953</v>
      </c>
      <c r="R22" s="1">
        <f t="shared" si="1"/>
        <v>2.6676415535797844</v>
      </c>
      <c r="S22" s="1"/>
      <c r="T22" s="1">
        <f t="shared" si="2"/>
        <v>7.0462876306348461</v>
      </c>
      <c r="U22" s="1"/>
      <c r="V22" s="1">
        <f t="shared" si="3"/>
        <v>-2.8804655045551186E-3</v>
      </c>
      <c r="W22" s="1">
        <f t="shared" si="4"/>
        <v>-0.39565297453090498</v>
      </c>
      <c r="X22" s="1">
        <f t="shared" si="5"/>
        <v>-1.2281347777701859</v>
      </c>
      <c r="Y22" s="1">
        <f t="shared" si="6"/>
        <v>0.34072615630705716</v>
      </c>
      <c r="Z22" s="1">
        <f t="shared" si="7"/>
        <v>1.2801811304894786</v>
      </c>
      <c r="AA22" s="1"/>
      <c r="AB22" s="1">
        <f t="shared" si="8"/>
        <v>137.35730350015515</v>
      </c>
      <c r="AC22" s="1">
        <f t="shared" si="9"/>
        <v>426.36677156106703</v>
      </c>
      <c r="AD22" s="1">
        <f t="shared" si="10"/>
        <v>-118.28857376290001</v>
      </c>
      <c r="AE22" s="1">
        <f t="shared" si="11"/>
        <v>-444.43550129832215</v>
      </c>
    </row>
    <row r="23" spans="1:31" x14ac:dyDescent="0.25">
      <c r="A23" s="2">
        <v>40908</v>
      </c>
      <c r="B23">
        <v>126</v>
      </c>
      <c r="C23">
        <v>-23.741</v>
      </c>
      <c r="D23">
        <v>53.295000000000002</v>
      </c>
      <c r="E23">
        <v>7.1959999999999997</v>
      </c>
      <c r="F23">
        <v>162.75</v>
      </c>
      <c r="G23">
        <v>2693.56</v>
      </c>
      <c r="J23">
        <v>2011</v>
      </c>
      <c r="K23" s="1">
        <f>B23/$G23*100</f>
        <v>4.6778241435126748</v>
      </c>
      <c r="L23" s="1">
        <f>C23/$G23*100</f>
        <v>-0.88139859516773345</v>
      </c>
      <c r="M23" s="1">
        <f>D23/$G23*100</f>
        <v>1.9786082359405397</v>
      </c>
      <c r="N23" s="1">
        <f>E23/$G23*100</f>
        <v>0.26715573441839052</v>
      </c>
      <c r="O23" s="1">
        <f>F23/$G23*100</f>
        <v>6.0421895187038714</v>
      </c>
      <c r="P23" s="1"/>
      <c r="Q23" s="1">
        <f t="shared" si="0"/>
        <v>3.7964255483449412</v>
      </c>
      <c r="R23" s="1">
        <f t="shared" si="1"/>
        <v>4.063581282763332</v>
      </c>
      <c r="S23" s="1"/>
      <c r="T23" s="1">
        <f t="shared" si="2"/>
        <v>4.9449798779310656</v>
      </c>
      <c r="U23" s="1"/>
      <c r="V23" s="1">
        <f t="shared" si="3"/>
        <v>0.19871736147411045</v>
      </c>
      <c r="W23" s="1">
        <f t="shared" si="4"/>
        <v>-1.1169036680611821</v>
      </c>
      <c r="X23" s="1">
        <f t="shared" si="5"/>
        <v>3.497247481887328</v>
      </c>
      <c r="Y23" s="1">
        <f t="shared" si="6"/>
        <v>-1.1972223677094374</v>
      </c>
      <c r="Z23" s="1">
        <f t="shared" si="7"/>
        <v>-0.98440408464259832</v>
      </c>
      <c r="AA23" s="1"/>
      <c r="AB23" s="1">
        <f t="shared" si="8"/>
        <v>-5.6205641005690188</v>
      </c>
      <c r="AC23" s="1">
        <f t="shared" si="9"/>
        <v>17.599103852548691</v>
      </c>
      <c r="AD23" s="1">
        <f t="shared" si="10"/>
        <v>-6.0247497190395984</v>
      </c>
      <c r="AE23" s="1">
        <f t="shared" si="11"/>
        <v>-4.9537900329400744</v>
      </c>
    </row>
    <row r="24" spans="1:31" x14ac:dyDescent="0.25">
      <c r="A24" s="2">
        <v>41274</v>
      </c>
      <c r="B24">
        <v>135.80000000000001</v>
      </c>
      <c r="C24">
        <v>0.25600000000000001</v>
      </c>
      <c r="D24">
        <v>65.536000000000001</v>
      </c>
      <c r="E24">
        <v>-6.851</v>
      </c>
      <c r="F24">
        <v>194.74100000000001</v>
      </c>
      <c r="G24">
        <v>2745.31</v>
      </c>
      <c r="J24">
        <v>2012</v>
      </c>
      <c r="K24" s="1">
        <f>B24/$G24*100</f>
        <v>4.9466180504205353</v>
      </c>
      <c r="L24" s="1">
        <f>C24/$G24*100</f>
        <v>9.324994262942983E-3</v>
      </c>
      <c r="M24" s="1">
        <f>D24/$G24*100</f>
        <v>2.3871985313134036</v>
      </c>
      <c r="N24" s="1">
        <f>E24/$G24*100</f>
        <v>-0.24955287381024366</v>
      </c>
      <c r="O24" s="1">
        <f>F24/$G24*100</f>
        <v>7.0935887021866391</v>
      </c>
      <c r="P24" s="1"/>
      <c r="Q24" s="1">
        <f t="shared" si="0"/>
        <v>4.9559430446834787</v>
      </c>
      <c r="R24" s="1">
        <f t="shared" si="1"/>
        <v>4.7063901708732354</v>
      </c>
      <c r="S24" s="1"/>
      <c r="T24" s="1">
        <f t="shared" si="2"/>
        <v>4.697065176610292</v>
      </c>
      <c r="U24" s="1"/>
      <c r="V24" s="1">
        <f t="shared" si="3"/>
        <v>1.0513991834827676</v>
      </c>
      <c r="W24" s="1">
        <f t="shared" si="4"/>
        <v>0.26879390690786042</v>
      </c>
      <c r="X24" s="1">
        <f t="shared" si="5"/>
        <v>0.89072358943067642</v>
      </c>
      <c r="Y24" s="1">
        <f t="shared" si="6"/>
        <v>0.40859029537286395</v>
      </c>
      <c r="Z24" s="1">
        <f t="shared" si="7"/>
        <v>-0.51670860822863418</v>
      </c>
      <c r="AA24" s="1"/>
      <c r="AB24" s="1">
        <f t="shared" si="8"/>
        <v>0.25565352449435869</v>
      </c>
      <c r="AC24" s="1">
        <f t="shared" si="9"/>
        <v>0.84717926685100509</v>
      </c>
      <c r="AD24" s="1">
        <f t="shared" si="10"/>
        <v>0.38861576249223018</v>
      </c>
      <c r="AE24" s="1">
        <f t="shared" si="11"/>
        <v>-0.49144855383759484</v>
      </c>
    </row>
    <row r="25" spans="1:31" x14ac:dyDescent="0.25">
      <c r="A25" s="2">
        <v>41639</v>
      </c>
      <c r="B25">
        <v>132.9</v>
      </c>
      <c r="C25">
        <v>1.1240000000000001</v>
      </c>
      <c r="D25">
        <v>72.801000000000002</v>
      </c>
      <c r="E25">
        <v>-25.082000000000001</v>
      </c>
      <c r="F25">
        <v>181.74299999999999</v>
      </c>
      <c r="G25">
        <v>2811.35</v>
      </c>
      <c r="J25">
        <v>2013</v>
      </c>
      <c r="K25" s="1">
        <f>B25/$G25*100</f>
        <v>4.7272662599818593</v>
      </c>
      <c r="L25" s="1">
        <f>C25/$G25*100</f>
        <v>3.9980792146121977E-2</v>
      </c>
      <c r="M25" s="1">
        <f>D25/$G25*100</f>
        <v>2.5895388336564285</v>
      </c>
      <c r="N25" s="1">
        <f>E25/$G25*100</f>
        <v>-0.8921692425347254</v>
      </c>
      <c r="O25" s="1">
        <f>F25/$G25*100</f>
        <v>6.464616643249685</v>
      </c>
      <c r="P25" s="1"/>
      <c r="Q25" s="1">
        <f t="shared" si="0"/>
        <v>4.7672470521279813</v>
      </c>
      <c r="R25" s="1">
        <f t="shared" si="1"/>
        <v>3.8750778095932557</v>
      </c>
      <c r="S25" s="1"/>
      <c r="T25" s="1">
        <f t="shared" si="2"/>
        <v>3.8350970174471337</v>
      </c>
      <c r="U25" s="1"/>
      <c r="V25" s="1">
        <f t="shared" si="3"/>
        <v>-0.62897205893695407</v>
      </c>
      <c r="W25" s="1">
        <f t="shared" si="4"/>
        <v>-0.21935179043867592</v>
      </c>
      <c r="X25" s="1">
        <f t="shared" si="5"/>
        <v>3.0655797883178994E-2</v>
      </c>
      <c r="Y25" s="1">
        <f t="shared" si="6"/>
        <v>0.2023403023430248</v>
      </c>
      <c r="Z25" s="1">
        <f t="shared" si="7"/>
        <v>-0.64261636872448169</v>
      </c>
      <c r="AA25" s="1"/>
      <c r="AB25" s="1">
        <f t="shared" si="8"/>
        <v>0.34874647819715465</v>
      </c>
      <c r="AC25" s="1">
        <f t="shared" si="9"/>
        <v>-4.8739522602945742E-2</v>
      </c>
      <c r="AD25" s="1">
        <f t="shared" si="10"/>
        <v>-0.32169998566392066</v>
      </c>
      <c r="AE25" s="1">
        <f t="shared" si="11"/>
        <v>1.0216930300697113</v>
      </c>
    </row>
    <row r="26" spans="1:31" x14ac:dyDescent="0.25">
      <c r="A26" s="2">
        <v>42004</v>
      </c>
      <c r="B26">
        <v>143.30000000000001</v>
      </c>
      <c r="C26">
        <v>16.966000000000001</v>
      </c>
      <c r="D26">
        <v>42.75</v>
      </c>
      <c r="E26">
        <v>11.667</v>
      </c>
      <c r="F26">
        <v>214.68299999999999</v>
      </c>
      <c r="G26">
        <v>2927.43</v>
      </c>
      <c r="J26">
        <v>2014</v>
      </c>
      <c r="K26" s="1">
        <f>B26/$G26*100</f>
        <v>4.895078618446898</v>
      </c>
      <c r="L26" s="1">
        <f>C26/$G26*100</f>
        <v>0.57955271347222659</v>
      </c>
      <c r="M26" s="1">
        <f>D26/$G26*100</f>
        <v>1.460325268238694</v>
      </c>
      <c r="N26" s="1">
        <f>E26/$G26*100</f>
        <v>0.39854069952142324</v>
      </c>
      <c r="O26" s="1">
        <f>F26/$G26*100</f>
        <v>7.3334972996792409</v>
      </c>
      <c r="P26" s="1"/>
      <c r="Q26" s="1">
        <f t="shared" si="0"/>
        <v>5.4746313319191247</v>
      </c>
      <c r="R26" s="1">
        <f t="shared" si="1"/>
        <v>5.8731720314405482</v>
      </c>
      <c r="S26" s="1"/>
      <c r="T26" s="1">
        <f t="shared" si="2"/>
        <v>5.2936193179683215</v>
      </c>
      <c r="U26" s="1"/>
      <c r="V26" s="1">
        <f t="shared" si="3"/>
        <v>0.86888065642955592</v>
      </c>
      <c r="W26" s="1">
        <f t="shared" si="4"/>
        <v>0.16781235846503861</v>
      </c>
      <c r="X26" s="1">
        <f t="shared" si="5"/>
        <v>0.53957192132610465</v>
      </c>
      <c r="Y26" s="1">
        <f t="shared" si="6"/>
        <v>-1.1292135654177344</v>
      </c>
      <c r="Z26" s="1">
        <f t="shared" si="7"/>
        <v>1.2907099420561488</v>
      </c>
      <c r="AA26" s="1"/>
      <c r="AB26" s="1">
        <f t="shared" si="8"/>
        <v>0.1931362578085474</v>
      </c>
      <c r="AC26" s="1">
        <f t="shared" si="9"/>
        <v>0.62099658604823615</v>
      </c>
      <c r="AD26" s="1">
        <f t="shared" si="10"/>
        <v>-1.2996187187063761</v>
      </c>
      <c r="AE26" s="1">
        <f t="shared" si="11"/>
        <v>1.4854858748495945</v>
      </c>
    </row>
    <row r="27" spans="1:31" x14ac:dyDescent="0.25">
      <c r="A27" s="2">
        <v>42369</v>
      </c>
      <c r="B27">
        <v>159.30000000000001</v>
      </c>
      <c r="C27">
        <v>28.58</v>
      </c>
      <c r="D27">
        <v>67.888000000000005</v>
      </c>
      <c r="E27">
        <v>2.907</v>
      </c>
      <c r="F27">
        <v>258.67500000000001</v>
      </c>
      <c r="G27">
        <v>3030.07</v>
      </c>
      <c r="J27">
        <v>2015</v>
      </c>
      <c r="K27" s="1">
        <f>B27/$G27*100</f>
        <v>5.2573042866996476</v>
      </c>
      <c r="L27" s="1">
        <f>C27/$G27*100</f>
        <v>0.94321253304379093</v>
      </c>
      <c r="M27" s="1">
        <f>D27/$G27*100</f>
        <v>2.2404762926269033</v>
      </c>
      <c r="N27" s="1">
        <f>E27/$G27*100</f>
        <v>9.593837766124215E-2</v>
      </c>
      <c r="O27" s="1">
        <f>F27/$G27*100</f>
        <v>8.5369314900315842</v>
      </c>
      <c r="P27" s="1"/>
      <c r="Q27" s="1">
        <f t="shared" si="0"/>
        <v>6.2005168197434388</v>
      </c>
      <c r="R27" s="1">
        <f t="shared" si="1"/>
        <v>6.296455197404681</v>
      </c>
      <c r="S27" s="1"/>
      <c r="T27" s="1">
        <f t="shared" si="2"/>
        <v>5.3532426643608897</v>
      </c>
      <c r="U27" s="1"/>
      <c r="V27" s="1">
        <f t="shared" si="3"/>
        <v>1.2034341903523433</v>
      </c>
      <c r="W27" s="1">
        <f t="shared" si="4"/>
        <v>0.3622256682527496</v>
      </c>
      <c r="X27" s="1">
        <f t="shared" si="5"/>
        <v>0.36365981957156435</v>
      </c>
      <c r="Y27" s="1">
        <f t="shared" si="6"/>
        <v>0.78015102438820927</v>
      </c>
      <c r="Z27" s="1">
        <f t="shared" si="7"/>
        <v>-0.3026023218601811</v>
      </c>
      <c r="AA27" s="1"/>
      <c r="AB27" s="1">
        <f t="shared" si="8"/>
        <v>0.30099333320976746</v>
      </c>
      <c r="AC27" s="1">
        <f t="shared" si="9"/>
        <v>0.30218504882688391</v>
      </c>
      <c r="AD27" s="1">
        <f t="shared" si="10"/>
        <v>0.64827061640968953</v>
      </c>
      <c r="AE27" s="1">
        <f t="shared" si="11"/>
        <v>-0.25144899844634189</v>
      </c>
    </row>
    <row r="28" spans="1:31" x14ac:dyDescent="0.25">
      <c r="A28" s="2">
        <v>42735</v>
      </c>
      <c r="B28">
        <v>163.69999999999999</v>
      </c>
      <c r="C28">
        <v>37.112000000000002</v>
      </c>
      <c r="D28">
        <v>71.406000000000006</v>
      </c>
      <c r="E28">
        <v>-4.1769999999999996</v>
      </c>
      <c r="F28">
        <v>268.041</v>
      </c>
      <c r="G28">
        <v>3134.1</v>
      </c>
      <c r="J28">
        <v>2016</v>
      </c>
      <c r="K28" s="1">
        <f>B28/$G28*100</f>
        <v>5.2231900705146614</v>
      </c>
      <c r="L28" s="1">
        <f>C28/$G28*100</f>
        <v>1.184135796560416</v>
      </c>
      <c r="M28" s="1">
        <f>D28/$G28*100</f>
        <v>2.2783574231836896</v>
      </c>
      <c r="N28" s="1">
        <f>E28/$G28*100</f>
        <v>-0.13327590057751826</v>
      </c>
      <c r="O28" s="1">
        <f>F28/$G28*100</f>
        <v>8.5524073896812478</v>
      </c>
      <c r="P28" s="1"/>
      <c r="Q28" s="1">
        <f t="shared" si="0"/>
        <v>6.4073258670750777</v>
      </c>
      <c r="R28" s="1">
        <f t="shared" si="1"/>
        <v>6.2740499664975591</v>
      </c>
      <c r="S28" s="1"/>
      <c r="T28" s="1">
        <f t="shared" si="2"/>
        <v>5.0899141699371429</v>
      </c>
      <c r="U28" s="1"/>
      <c r="V28" s="1">
        <f t="shared" si="3"/>
        <v>1.547589964966356E-2</v>
      </c>
      <c r="W28" s="1">
        <f t="shared" si="4"/>
        <v>-3.4114216184986113E-2</v>
      </c>
      <c r="X28" s="1">
        <f t="shared" si="5"/>
        <v>0.24092326351662507</v>
      </c>
      <c r="Y28" s="1">
        <f t="shared" si="6"/>
        <v>3.7881130556786324E-2</v>
      </c>
      <c r="Z28" s="1">
        <f t="shared" si="7"/>
        <v>-0.22921427823876039</v>
      </c>
      <c r="AA28" s="1"/>
      <c r="AB28" s="1">
        <f t="shared" si="8"/>
        <v>-2.2043446233982102</v>
      </c>
      <c r="AC28" s="1">
        <f t="shared" si="9"/>
        <v>15.567641879990004</v>
      </c>
      <c r="AD28" s="1">
        <f t="shared" si="10"/>
        <v>2.4477498183835693</v>
      </c>
      <c r="AE28" s="1">
        <f t="shared" si="11"/>
        <v>-14.811047074975278</v>
      </c>
    </row>
    <row r="29" spans="1:31" x14ac:dyDescent="0.25">
      <c r="A29" s="2">
        <v>43100</v>
      </c>
      <c r="B29">
        <v>176.7</v>
      </c>
      <c r="C29">
        <v>40.295000000000002</v>
      </c>
      <c r="D29">
        <v>54.643000000000001</v>
      </c>
      <c r="E29">
        <v>-10.973000000000001</v>
      </c>
      <c r="F29">
        <v>260.66500000000002</v>
      </c>
      <c r="G29">
        <v>3244.99</v>
      </c>
      <c r="J29">
        <v>2017</v>
      </c>
      <c r="K29" s="1">
        <f>B29/$G29*100</f>
        <v>5.4453172428882679</v>
      </c>
      <c r="L29" s="1">
        <f>C29/$G29*100</f>
        <v>1.2417603752245769</v>
      </c>
      <c r="M29" s="1">
        <f>D29/$G29*100</f>
        <v>1.6839189026776662</v>
      </c>
      <c r="N29" s="1">
        <f>E29/$G29*100</f>
        <v>-0.33815204361184475</v>
      </c>
      <c r="O29" s="1">
        <f>F29/$G29*100</f>
        <v>8.0328444771786671</v>
      </c>
      <c r="P29" s="1"/>
      <c r="Q29" s="1">
        <f t="shared" si="0"/>
        <v>6.6870776181128448</v>
      </c>
      <c r="R29" s="1">
        <f t="shared" si="1"/>
        <v>6.348925574501</v>
      </c>
      <c r="S29" s="1"/>
      <c r="T29" s="1">
        <f t="shared" si="2"/>
        <v>5.1071651992764231</v>
      </c>
      <c r="U29" s="1"/>
      <c r="V29" s="1">
        <f t="shared" si="3"/>
        <v>-0.51956291250258069</v>
      </c>
      <c r="W29" s="1">
        <f t="shared" si="4"/>
        <v>0.22212717237360646</v>
      </c>
      <c r="X29" s="1">
        <f t="shared" si="5"/>
        <v>5.762457866416093E-2</v>
      </c>
      <c r="Y29" s="1">
        <f t="shared" si="6"/>
        <v>-0.59443852050602342</v>
      </c>
      <c r="Z29" s="1">
        <f t="shared" si="7"/>
        <v>-0.2048761430343265</v>
      </c>
      <c r="AA29" s="1"/>
      <c r="AB29" s="1">
        <f t="shared" si="8"/>
        <v>-0.42752699822950346</v>
      </c>
      <c r="AC29" s="1">
        <f t="shared" si="9"/>
        <v>-0.11090972291805895</v>
      </c>
      <c r="AD29" s="1">
        <f t="shared" si="10"/>
        <v>1.1441126881878252</v>
      </c>
      <c r="AE29" s="1">
        <f t="shared" si="11"/>
        <v>0.39432403295974067</v>
      </c>
    </row>
    <row r="30" spans="1:31" x14ac:dyDescent="0.25">
      <c r="A30" s="2">
        <v>43465</v>
      </c>
      <c r="B30">
        <v>189.1</v>
      </c>
      <c r="C30">
        <v>62.426000000000002</v>
      </c>
      <c r="D30">
        <v>7.4610000000000003</v>
      </c>
      <c r="E30">
        <v>-6.5609999999999999</v>
      </c>
      <c r="F30">
        <v>252.42599999999999</v>
      </c>
      <c r="G30">
        <v>3344.37</v>
      </c>
      <c r="J30">
        <v>2018</v>
      </c>
      <c r="K30" s="1">
        <f>B30/$G30*100</f>
        <v>5.654278683279661</v>
      </c>
      <c r="L30" s="1">
        <f>C30/$G30*100</f>
        <v>1.8665996884316032</v>
      </c>
      <c r="M30" s="1">
        <f>D30/$G30*100</f>
        <v>0.22309134455816793</v>
      </c>
      <c r="N30" s="1">
        <f>E30/$G30*100</f>
        <v>-0.1961804465415011</v>
      </c>
      <c r="O30" s="1">
        <f>F30/$G30*100</f>
        <v>7.5477892697279305</v>
      </c>
      <c r="P30" s="1"/>
      <c r="Q30" s="1">
        <f t="shared" si="0"/>
        <v>7.5208783717112642</v>
      </c>
      <c r="R30" s="1">
        <f t="shared" si="1"/>
        <v>7.3246979251697635</v>
      </c>
      <c r="S30" s="1"/>
      <c r="T30" s="1">
        <f t="shared" si="2"/>
        <v>5.4580982367381603</v>
      </c>
      <c r="U30" s="1"/>
      <c r="V30" s="1">
        <f t="shared" si="3"/>
        <v>-0.4850552074507366</v>
      </c>
      <c r="W30" s="1">
        <f t="shared" si="4"/>
        <v>0.20896144039139308</v>
      </c>
      <c r="X30" s="1">
        <f t="shared" si="5"/>
        <v>0.62483931320702624</v>
      </c>
      <c r="Y30" s="1">
        <f t="shared" si="6"/>
        <v>-1.4608275581194983</v>
      </c>
      <c r="Z30" s="1">
        <f t="shared" si="7"/>
        <v>0.14197159707034365</v>
      </c>
      <c r="AA30" s="1"/>
      <c r="AB30" s="1">
        <f t="shared" si="8"/>
        <v>-0.43079929290856178</v>
      </c>
      <c r="AC30" s="1">
        <f t="shared" si="9"/>
        <v>-1.2881818473631921</v>
      </c>
      <c r="AD30" s="1">
        <f t="shared" si="10"/>
        <v>3.0116727656570177</v>
      </c>
      <c r="AE30" s="1">
        <f t="shared" si="11"/>
        <v>-0.29269162538526633</v>
      </c>
    </row>
    <row r="31" spans="1:31" x14ac:dyDescent="0.25">
      <c r="A31" s="2">
        <v>43830</v>
      </c>
      <c r="B31">
        <v>192.4</v>
      </c>
      <c r="C31">
        <v>50.414999999999999</v>
      </c>
      <c r="D31">
        <v>16.318999999999999</v>
      </c>
      <c r="E31">
        <v>-9.1549999999999994</v>
      </c>
      <c r="F31">
        <v>249.97900000000001</v>
      </c>
      <c r="G31">
        <v>3435.21</v>
      </c>
      <c r="J31">
        <v>2019</v>
      </c>
      <c r="K31" s="1">
        <f>B31/$G31*100</f>
        <v>5.6008220749240953</v>
      </c>
      <c r="L31" s="1">
        <f>C31/$G31*100</f>
        <v>1.4675958675015501</v>
      </c>
      <c r="M31" s="1">
        <f>D31/$G31*100</f>
        <v>0.47505101580398279</v>
      </c>
      <c r="N31" s="1">
        <f>E31/$G31*100</f>
        <v>-0.26650481338841003</v>
      </c>
      <c r="O31" s="1">
        <f>F31/$G31*100</f>
        <v>7.2769641448412177</v>
      </c>
      <c r="P31" s="1"/>
      <c r="Q31" s="1">
        <f t="shared" si="0"/>
        <v>7.0684179424256453</v>
      </c>
      <c r="R31" s="1">
        <f t="shared" si="1"/>
        <v>6.801913129037235</v>
      </c>
      <c r="S31" s="1"/>
      <c r="T31" s="1">
        <f t="shared" si="2"/>
        <v>5.3343172615356851</v>
      </c>
      <c r="U31" s="1"/>
      <c r="V31" s="1">
        <f t="shared" si="3"/>
        <v>-0.27082512488671284</v>
      </c>
      <c r="W31" s="1">
        <f t="shared" si="4"/>
        <v>-5.3456608355565649E-2</v>
      </c>
      <c r="X31" s="1">
        <f t="shared" si="5"/>
        <v>-0.39900382093005304</v>
      </c>
      <c r="Y31" s="1">
        <f t="shared" si="6"/>
        <v>0.25195967124581486</v>
      </c>
      <c r="Z31" s="1">
        <f t="shared" si="7"/>
        <v>-7.0324366846908931E-2</v>
      </c>
      <c r="AA31" s="1"/>
      <c r="AB31" s="1">
        <f t="shared" si="8"/>
        <v>0.19738422857896493</v>
      </c>
      <c r="AC31" s="1">
        <f t="shared" si="9"/>
        <v>1.4732895299022122</v>
      </c>
      <c r="AD31" s="1">
        <f t="shared" si="10"/>
        <v>-0.9303408291649844</v>
      </c>
      <c r="AE31" s="1">
        <f t="shared" si="11"/>
        <v>0.25966707068380701</v>
      </c>
    </row>
    <row r="32" spans="1:31" x14ac:dyDescent="0.25">
      <c r="A32" s="2"/>
      <c r="U32" s="1"/>
    </row>
    <row r="33" spans="1:12" x14ac:dyDescent="0.25">
      <c r="A33" s="2"/>
      <c r="J33" t="s">
        <v>5</v>
      </c>
    </row>
    <row r="34" spans="1:12" x14ac:dyDescent="0.25">
      <c r="A34" s="2"/>
    </row>
    <row r="35" spans="1:12" x14ac:dyDescent="0.25">
      <c r="A35" s="2"/>
    </row>
    <row r="36" spans="1:12" x14ac:dyDescent="0.25">
      <c r="A36" s="2"/>
    </row>
    <row r="37" spans="1:12" x14ac:dyDescent="0.25">
      <c r="A37" s="2"/>
      <c r="J37" s="4" t="s">
        <v>57</v>
      </c>
      <c r="K37" s="5">
        <f>AVERAGE(K3:K16)</f>
        <v>4.0576838788106757</v>
      </c>
    </row>
    <row r="38" spans="1:12" x14ac:dyDescent="0.25">
      <c r="A38" s="2"/>
      <c r="J38" s="4" t="s">
        <v>58</v>
      </c>
      <c r="K38" s="5">
        <f>AVERAGE(K17:K31)</f>
        <v>5.4200562545358277</v>
      </c>
      <c r="L38">
        <f>K38/K37</f>
        <v>1.3357512355359897</v>
      </c>
    </row>
    <row r="39" spans="1:12" x14ac:dyDescent="0.25">
      <c r="A39" s="2"/>
    </row>
    <row r="40" spans="1:12" x14ac:dyDescent="0.25">
      <c r="A40" s="2"/>
    </row>
    <row r="41" spans="1:12" x14ac:dyDescent="0.25">
      <c r="A41" s="2"/>
    </row>
    <row r="42" spans="1:12" x14ac:dyDescent="0.25">
      <c r="A42" s="2"/>
    </row>
    <row r="43" spans="1:12" x14ac:dyDescent="0.25">
      <c r="A43" s="2"/>
    </row>
    <row r="44" spans="1:12" x14ac:dyDescent="0.25">
      <c r="A44" s="2"/>
    </row>
    <row r="45" spans="1:12" x14ac:dyDescent="0.25">
      <c r="A45" s="2"/>
    </row>
    <row r="46" spans="1:12" x14ac:dyDescent="0.25">
      <c r="A46" s="2"/>
    </row>
    <row r="47" spans="1:12" x14ac:dyDescent="0.25">
      <c r="A47" s="2"/>
    </row>
    <row r="48" spans="1:1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5"/>
  <sheetViews>
    <sheetView workbookViewId="0">
      <selection activeCell="E2" sqref="E2"/>
    </sheetView>
  </sheetViews>
  <sheetFormatPr baseColWidth="10" defaultColWidth="10.85546875" defaultRowHeight="15" x14ac:dyDescent="0.25"/>
  <sheetData>
    <row r="1" spans="1:31" x14ac:dyDescent="0.25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31" ht="165" x14ac:dyDescent="0.25">
      <c r="B2" s="3" t="s">
        <v>17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/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X2" t="s">
        <v>54</v>
      </c>
      <c r="Y2" t="s">
        <v>59</v>
      </c>
      <c r="AE2" t="s">
        <v>54</v>
      </c>
    </row>
    <row r="3" spans="1:31" x14ac:dyDescent="0.25">
      <c r="A3" s="2">
        <v>33603</v>
      </c>
      <c r="B3">
        <v>1585.8</v>
      </c>
      <c r="C3">
        <v>-1014.8029225400001</v>
      </c>
      <c r="D3">
        <v>1779.82339978</v>
      </c>
      <c r="E3">
        <v>-671.98018232699997</v>
      </c>
      <c r="F3">
        <v>-759.03069285000004</v>
      </c>
      <c r="G3">
        <v>-981.03771800000004</v>
      </c>
      <c r="H3">
        <v>-734.82255614999997</v>
      </c>
      <c r="I3">
        <v>799.95858535800005</v>
      </c>
      <c r="J3">
        <v>-17835.164610420001</v>
      </c>
      <c r="K3">
        <v>-788.96785509999995</v>
      </c>
      <c r="L3">
        <v>-22550.794291900002</v>
      </c>
      <c r="N3">
        <v>1991</v>
      </c>
      <c r="O3">
        <f>L3/B3/1000*100</f>
        <v>-1.4220452952389961</v>
      </c>
      <c r="P3">
        <f>(D3+E3+F3+G3+I3)/B3/1000*100</f>
        <v>1.0577209733951322E-2</v>
      </c>
      <c r="Q3">
        <f>K3/B3/1000*100-P3</f>
        <v>-6.0329250035376474E-2</v>
      </c>
      <c r="R3">
        <f>H3/B3/1000*100</f>
        <v>-4.6337656460461597E-2</v>
      </c>
      <c r="S3">
        <f>C3/B3/1000*100</f>
        <v>-6.3993121613065959E-2</v>
      </c>
      <c r="T3">
        <f>J3/B3/1000*100</f>
        <v>-1.1246793170904277</v>
      </c>
      <c r="U3">
        <f>O3-P3-Q3-R3-S3-T3</f>
        <v>-0.13728315977361571</v>
      </c>
      <c r="X3">
        <f>P3+Q3</f>
        <v>-4.9752040301425153E-2</v>
      </c>
      <c r="Y3">
        <f>O3-X3</f>
        <v>-1.372293254937571</v>
      </c>
      <c r="AD3">
        <v>1991</v>
      </c>
      <c r="AE3">
        <v>-4.9752040301425153E-2</v>
      </c>
    </row>
    <row r="4" spans="1:31" x14ac:dyDescent="0.25">
      <c r="A4" s="2">
        <v>33969</v>
      </c>
      <c r="B4">
        <v>1702.06</v>
      </c>
      <c r="C4">
        <v>5915.1194122200004</v>
      </c>
      <c r="D4">
        <v>1983.3318846699999</v>
      </c>
      <c r="E4">
        <v>-243.162749319</v>
      </c>
      <c r="F4">
        <v>-1155.3018411600001</v>
      </c>
      <c r="G4">
        <v>738.90982344999998</v>
      </c>
      <c r="H4">
        <v>-3933.44871487</v>
      </c>
      <c r="I4">
        <v>534.806706104</v>
      </c>
      <c r="J4">
        <v>-13315.49112142</v>
      </c>
      <c r="K4">
        <v>-1735.5649519999999</v>
      </c>
      <c r="L4">
        <v>-20141.986777999999</v>
      </c>
      <c r="N4">
        <v>1992</v>
      </c>
      <c r="O4">
        <f t="shared" ref="O4:O31" si="0">L4/B4/1000*100</f>
        <v>-1.1833887629108257</v>
      </c>
      <c r="P4">
        <f t="shared" ref="P4:P31" si="1">(D4+E4+F4+G4+I4)/B4/1000*100</f>
        <v>0.10919614019159135</v>
      </c>
      <c r="Q4">
        <f t="shared" ref="Q4:Q31" si="2">K4/B4/1000*100-P4</f>
        <v>-0.21116463436923491</v>
      </c>
      <c r="R4">
        <f t="shared" ref="R4:R31" si="3">H4/B4/1000*100</f>
        <v>-0.23109929819571579</v>
      </c>
      <c r="S4">
        <f t="shared" ref="S4:S31" si="4">C4/B4/1000*100</f>
        <v>0.34752707966934193</v>
      </c>
      <c r="T4">
        <f t="shared" ref="T4:T31" si="5">J4/B4/1000*100</f>
        <v>-0.78231620045239292</v>
      </c>
      <c r="U4">
        <f t="shared" ref="U4:U31" si="6">O4-P4-Q4-R4-S4-T4</f>
        <v>-0.41553184975441537</v>
      </c>
      <c r="X4">
        <f t="shared" ref="X4:X31" si="7">P4+Q4</f>
        <v>-0.10196849417764356</v>
      </c>
      <c r="Y4">
        <f t="shared" ref="Y4:Y31" si="8">O4-X4</f>
        <v>-1.0814202687331822</v>
      </c>
      <c r="AD4">
        <v>1992</v>
      </c>
      <c r="AE4">
        <v>-0.10196849417764356</v>
      </c>
    </row>
    <row r="5" spans="1:31" x14ac:dyDescent="0.25">
      <c r="A5" s="2">
        <v>34334</v>
      </c>
      <c r="B5">
        <v>1750.89</v>
      </c>
      <c r="C5">
        <v>9366.6392273399997</v>
      </c>
      <c r="D5">
        <v>-1494.0756609699999</v>
      </c>
      <c r="E5">
        <v>-652.73566720999997</v>
      </c>
      <c r="F5">
        <v>-1088.41617114</v>
      </c>
      <c r="G5">
        <v>-1704.3199050999999</v>
      </c>
      <c r="H5">
        <v>-2931.59425921</v>
      </c>
      <c r="I5">
        <v>530.78999708599997</v>
      </c>
      <c r="J5">
        <v>-10992.723805240001</v>
      </c>
      <c r="K5">
        <v>-5431.9577877000002</v>
      </c>
      <c r="L5">
        <v>-18149.219512899999</v>
      </c>
      <c r="N5">
        <v>1993</v>
      </c>
      <c r="O5">
        <f t="shared" si="0"/>
        <v>-1.0365710874412442</v>
      </c>
      <c r="P5">
        <f t="shared" si="1"/>
        <v>-0.25180093594309183</v>
      </c>
      <c r="Q5">
        <f t="shared" si="2"/>
        <v>-5.8438872822735854E-2</v>
      </c>
      <c r="R5">
        <f t="shared" si="3"/>
        <v>-0.16743451954206146</v>
      </c>
      <c r="S5">
        <f t="shared" si="4"/>
        <v>0.53496445963709882</v>
      </c>
      <c r="T5">
        <f t="shared" si="5"/>
        <v>-0.62783634638612362</v>
      </c>
      <c r="U5">
        <f t="shared" si="6"/>
        <v>-0.4660248723843301</v>
      </c>
      <c r="X5">
        <f t="shared" si="7"/>
        <v>-0.31023980876582768</v>
      </c>
      <c r="Y5">
        <f t="shared" si="8"/>
        <v>-0.72633127867541647</v>
      </c>
      <c r="AD5">
        <v>1993</v>
      </c>
      <c r="AE5">
        <v>-0.31023980876582768</v>
      </c>
    </row>
    <row r="6" spans="1:31" x14ac:dyDescent="0.25">
      <c r="A6" s="2">
        <v>34699</v>
      </c>
      <c r="B6">
        <v>1829.55</v>
      </c>
      <c r="C6">
        <v>7339.2682390600003</v>
      </c>
      <c r="D6">
        <v>-1620.6638613800001</v>
      </c>
      <c r="E6">
        <v>-1350.0697913419999</v>
      </c>
      <c r="F6">
        <v>-1426.7548815600001</v>
      </c>
      <c r="G6">
        <v>-3220.2486923699998</v>
      </c>
      <c r="H6">
        <v>-5296.4894699400002</v>
      </c>
      <c r="I6">
        <v>-70.801654541000005</v>
      </c>
      <c r="J6">
        <v>-8417.3961949700006</v>
      </c>
      <c r="K6">
        <v>-7727.691057</v>
      </c>
      <c r="L6">
        <v>-27440.265258200001</v>
      </c>
      <c r="N6">
        <v>1994</v>
      </c>
      <c r="O6">
        <f t="shared" si="0"/>
        <v>-1.4998368592386107</v>
      </c>
      <c r="P6">
        <f t="shared" si="1"/>
        <v>-0.4202420748923506</v>
      </c>
      <c r="Q6">
        <f t="shared" si="2"/>
        <v>-2.1399893857504959E-3</v>
      </c>
      <c r="R6">
        <f t="shared" si="3"/>
        <v>-0.28949684184307622</v>
      </c>
      <c r="S6">
        <f t="shared" si="4"/>
        <v>0.40115155306277506</v>
      </c>
      <c r="T6">
        <f t="shared" si="5"/>
        <v>-0.46008013965018729</v>
      </c>
      <c r="U6">
        <f t="shared" si="6"/>
        <v>-0.72902936653002115</v>
      </c>
      <c r="X6">
        <f t="shared" si="7"/>
        <v>-0.4223820642781011</v>
      </c>
      <c r="Y6">
        <f t="shared" si="8"/>
        <v>-1.0774547949605096</v>
      </c>
      <c r="AD6">
        <v>1994</v>
      </c>
      <c r="AE6">
        <v>-0.4223820642781011</v>
      </c>
    </row>
    <row r="7" spans="1:31" x14ac:dyDescent="0.25">
      <c r="A7" s="2">
        <v>35064</v>
      </c>
      <c r="B7">
        <v>1894.61</v>
      </c>
      <c r="C7">
        <v>7028.7514763600002</v>
      </c>
      <c r="D7">
        <v>-1904.2340080700001</v>
      </c>
      <c r="E7">
        <v>-1116.219712347</v>
      </c>
      <c r="F7">
        <v>-2060.2772224599998</v>
      </c>
      <c r="G7">
        <v>-3229.3614475700001</v>
      </c>
      <c r="H7">
        <v>2087.2217933100001</v>
      </c>
      <c r="I7">
        <v>-215.80965625799999</v>
      </c>
      <c r="J7">
        <v>-9673.2706830400002</v>
      </c>
      <c r="K7">
        <v>-13025.4654034</v>
      </c>
      <c r="L7">
        <v>-23600.546570999999</v>
      </c>
      <c r="N7">
        <v>1995</v>
      </c>
      <c r="O7">
        <f t="shared" si="0"/>
        <v>-1.2456677928966911</v>
      </c>
      <c r="P7">
        <f t="shared" si="1"/>
        <v>-0.45000828913100854</v>
      </c>
      <c r="Q7">
        <f t="shared" si="2"/>
        <v>-0.23749285376383533</v>
      </c>
      <c r="R7">
        <f t="shared" si="3"/>
        <v>0.11016630300220097</v>
      </c>
      <c r="S7">
        <f t="shared" si="4"/>
        <v>0.37098671897435359</v>
      </c>
      <c r="T7">
        <f t="shared" si="5"/>
        <v>-0.51056791017887593</v>
      </c>
      <c r="U7">
        <f t="shared" si="6"/>
        <v>-0.52875176179952577</v>
      </c>
      <c r="X7">
        <f t="shared" si="7"/>
        <v>-0.68750114289484388</v>
      </c>
      <c r="Y7">
        <f t="shared" si="8"/>
        <v>-0.55816665000184718</v>
      </c>
      <c r="AD7">
        <v>1995</v>
      </c>
      <c r="AE7">
        <v>-0.68750114289484388</v>
      </c>
    </row>
    <row r="8" spans="1:31" x14ac:dyDescent="0.25">
      <c r="A8" s="2">
        <v>35430</v>
      </c>
      <c r="B8">
        <v>1921.38</v>
      </c>
      <c r="C8">
        <v>13348.48120747</v>
      </c>
      <c r="D8">
        <v>-2685.5294171800001</v>
      </c>
      <c r="E8">
        <v>-1042.011320002</v>
      </c>
      <c r="F8">
        <v>-2428.1317905999999</v>
      </c>
      <c r="G8">
        <v>-2206.9868035600002</v>
      </c>
      <c r="H8">
        <v>-1954.71078775</v>
      </c>
      <c r="I8">
        <v>-198.94213709799999</v>
      </c>
      <c r="J8">
        <v>-4240.2990034900004</v>
      </c>
      <c r="K8">
        <v>-10130.5793448</v>
      </c>
      <c r="L8">
        <v>-12990.977232200001</v>
      </c>
      <c r="N8">
        <v>1996</v>
      </c>
      <c r="O8">
        <f t="shared" si="0"/>
        <v>-0.67612743091944338</v>
      </c>
      <c r="P8">
        <f t="shared" si="1"/>
        <v>-0.44559647068461222</v>
      </c>
      <c r="Q8">
        <f t="shared" si="2"/>
        <v>-8.1658905388834968E-2</v>
      </c>
      <c r="R8">
        <f t="shared" si="3"/>
        <v>-0.10173473169024347</v>
      </c>
      <c r="S8">
        <f t="shared" si="4"/>
        <v>0.69473405611955996</v>
      </c>
      <c r="T8">
        <f t="shared" si="5"/>
        <v>-0.22069028528921925</v>
      </c>
      <c r="U8">
        <f t="shared" si="6"/>
        <v>-0.52118109398609347</v>
      </c>
      <c r="X8">
        <f t="shared" si="7"/>
        <v>-0.52725537607344719</v>
      </c>
      <c r="Y8">
        <f t="shared" si="8"/>
        <v>-0.14887205484599619</v>
      </c>
      <c r="AD8">
        <v>1996</v>
      </c>
      <c r="AE8">
        <v>-0.52725537607344719</v>
      </c>
    </row>
    <row r="9" spans="1:31" x14ac:dyDescent="0.25">
      <c r="A9" s="2">
        <v>35795</v>
      </c>
      <c r="B9">
        <v>1961.15</v>
      </c>
      <c r="C9">
        <v>17679.740059209998</v>
      </c>
      <c r="D9">
        <v>-1627.6915682900001</v>
      </c>
      <c r="E9">
        <v>-478.10954939800001</v>
      </c>
      <c r="F9">
        <v>-404.68496750999998</v>
      </c>
      <c r="G9">
        <v>-847.2760925</v>
      </c>
      <c r="H9">
        <v>-505.65948982999998</v>
      </c>
      <c r="I9">
        <v>231.51347509799999</v>
      </c>
      <c r="J9">
        <v>-9330.1099788800002</v>
      </c>
      <c r="K9">
        <v>-12301.4295721</v>
      </c>
      <c r="L9">
        <v>-9996.1755367000005</v>
      </c>
      <c r="N9">
        <v>1997</v>
      </c>
      <c r="O9">
        <f t="shared" si="0"/>
        <v>-0.50970989147693957</v>
      </c>
      <c r="P9">
        <f t="shared" si="1"/>
        <v>-0.15940895406266734</v>
      </c>
      <c r="Q9">
        <f t="shared" si="2"/>
        <v>-0.46784697088442995</v>
      </c>
      <c r="R9">
        <f t="shared" si="3"/>
        <v>-2.5783825297911941E-2</v>
      </c>
      <c r="S9">
        <f t="shared" si="4"/>
        <v>0.90149861352828675</v>
      </c>
      <c r="T9">
        <f t="shared" si="5"/>
        <v>-0.47574688212936284</v>
      </c>
      <c r="U9">
        <f t="shared" si="6"/>
        <v>-0.28242187263085433</v>
      </c>
      <c r="X9">
        <f t="shared" si="7"/>
        <v>-0.62725592494709725</v>
      </c>
      <c r="Y9">
        <f t="shared" si="8"/>
        <v>0.11754603347015768</v>
      </c>
      <c r="AD9">
        <v>1997</v>
      </c>
      <c r="AE9">
        <v>-0.62725592494709725</v>
      </c>
    </row>
    <row r="10" spans="1:31" x14ac:dyDescent="0.25">
      <c r="A10" s="2">
        <v>36160</v>
      </c>
      <c r="B10">
        <v>2014.42</v>
      </c>
      <c r="C10">
        <v>20727.91244638</v>
      </c>
      <c r="D10">
        <v>-290.87395120999997</v>
      </c>
      <c r="E10">
        <v>-70.548565058999998</v>
      </c>
      <c r="F10">
        <v>-3153.1257829199999</v>
      </c>
      <c r="G10">
        <v>1014.44092789</v>
      </c>
      <c r="H10">
        <v>-3196.0482250499999</v>
      </c>
      <c r="I10">
        <v>-1.3380508529999999</v>
      </c>
      <c r="J10">
        <v>-21688.164104240001</v>
      </c>
      <c r="K10">
        <v>-7589.9935065999998</v>
      </c>
      <c r="L10">
        <v>-14314.0891591</v>
      </c>
      <c r="N10">
        <v>1998</v>
      </c>
      <c r="O10">
        <f t="shared" si="0"/>
        <v>-0.71058116773562607</v>
      </c>
      <c r="P10">
        <f t="shared" si="1"/>
        <v>-0.12417695526017415</v>
      </c>
      <c r="Q10">
        <f t="shared" si="2"/>
        <v>-0.25260611413945455</v>
      </c>
      <c r="R10">
        <f t="shared" si="3"/>
        <v>-0.15865848358584603</v>
      </c>
      <c r="S10">
        <f t="shared" si="4"/>
        <v>1.0289767003097667</v>
      </c>
      <c r="T10">
        <f t="shared" si="5"/>
        <v>-1.076645590504463</v>
      </c>
      <c r="U10">
        <f t="shared" si="6"/>
        <v>-0.12747072455545516</v>
      </c>
      <c r="X10">
        <f t="shared" si="7"/>
        <v>-0.37678306939962869</v>
      </c>
      <c r="Y10">
        <f t="shared" si="8"/>
        <v>-0.33379809833599738</v>
      </c>
      <c r="AD10">
        <v>1998</v>
      </c>
      <c r="AE10">
        <v>-0.37678306939962869</v>
      </c>
    </row>
    <row r="11" spans="1:31" x14ac:dyDescent="0.25">
      <c r="A11" s="2">
        <v>36525</v>
      </c>
      <c r="B11">
        <v>2059.48</v>
      </c>
      <c r="C11">
        <v>18271.428</v>
      </c>
      <c r="D11">
        <v>501.95699999999999</v>
      </c>
      <c r="E11">
        <v>147.94</v>
      </c>
      <c r="F11">
        <v>-6983.2250000000004</v>
      </c>
      <c r="G11">
        <v>3971.7620000000002</v>
      </c>
      <c r="H11">
        <v>-8193.7749999999996</v>
      </c>
      <c r="I11">
        <v>619.99699999999996</v>
      </c>
      <c r="J11">
        <v>-22746.675999999999</v>
      </c>
      <c r="K11">
        <v>-5301.3890000000001</v>
      </c>
      <c r="L11">
        <v>-29293.261999999999</v>
      </c>
      <c r="N11">
        <v>1999</v>
      </c>
      <c r="O11">
        <f t="shared" si="0"/>
        <v>-1.422362052556956</v>
      </c>
      <c r="P11">
        <f t="shared" si="1"/>
        <v>-8.4563530599957304E-2</v>
      </c>
      <c r="Q11">
        <f t="shared" si="2"/>
        <v>-0.17285042826344515</v>
      </c>
      <c r="R11">
        <f t="shared" si="3"/>
        <v>-0.39785649775671528</v>
      </c>
      <c r="S11">
        <f t="shared" si="4"/>
        <v>0.88718647425563746</v>
      </c>
      <c r="T11">
        <f t="shared" si="5"/>
        <v>-1.1044863752015073</v>
      </c>
      <c r="U11">
        <f t="shared" si="6"/>
        <v>-0.54979169499096869</v>
      </c>
      <c r="X11">
        <f t="shared" si="7"/>
        <v>-0.25741395886340246</v>
      </c>
      <c r="Y11">
        <f t="shared" si="8"/>
        <v>-1.1649480936935537</v>
      </c>
      <c r="AD11">
        <v>1999</v>
      </c>
      <c r="AE11">
        <v>-0.25741395886340246</v>
      </c>
    </row>
    <row r="12" spans="1:31" x14ac:dyDescent="0.25">
      <c r="A12" s="2">
        <v>36891</v>
      </c>
      <c r="B12">
        <v>2109.09</v>
      </c>
      <c r="C12">
        <v>21019.891</v>
      </c>
      <c r="D12">
        <v>2504.8780000000002</v>
      </c>
      <c r="E12">
        <v>530.01300000000003</v>
      </c>
      <c r="F12">
        <v>-5766.2939999999999</v>
      </c>
      <c r="G12">
        <v>10406.306</v>
      </c>
      <c r="H12">
        <v>-18276.440999999999</v>
      </c>
      <c r="I12">
        <v>1385.578</v>
      </c>
      <c r="J12">
        <v>-33165.555999999997</v>
      </c>
      <c r="K12">
        <v>10893.904</v>
      </c>
      <c r="L12">
        <v>-37146.523000000001</v>
      </c>
      <c r="N12">
        <v>2000</v>
      </c>
      <c r="O12">
        <f t="shared" si="0"/>
        <v>-1.7612583151975496</v>
      </c>
      <c r="P12">
        <f t="shared" si="1"/>
        <v>0.42959195672067102</v>
      </c>
      <c r="Q12">
        <f t="shared" si="2"/>
        <v>8.6929576262748387E-2</v>
      </c>
      <c r="R12">
        <f t="shared" si="3"/>
        <v>-0.8665557657567956</v>
      </c>
      <c r="S12">
        <f t="shared" si="4"/>
        <v>0.99663319251430704</v>
      </c>
      <c r="T12">
        <f t="shared" si="5"/>
        <v>-1.5725054881489169</v>
      </c>
      <c r="U12">
        <f t="shared" si="6"/>
        <v>-0.83535178678956301</v>
      </c>
      <c r="X12">
        <f t="shared" si="7"/>
        <v>0.51652153298341941</v>
      </c>
      <c r="Y12">
        <f t="shared" si="8"/>
        <v>-2.2777798481809688</v>
      </c>
      <c r="AD12">
        <v>2000</v>
      </c>
      <c r="AE12">
        <v>0.51652153298341941</v>
      </c>
    </row>
    <row r="13" spans="1:31" x14ac:dyDescent="0.25">
      <c r="A13" s="2">
        <v>37256</v>
      </c>
      <c r="B13">
        <v>2172.54</v>
      </c>
      <c r="C13">
        <v>19220.88</v>
      </c>
      <c r="D13">
        <v>5197.76</v>
      </c>
      <c r="E13">
        <v>1607.5340000000001</v>
      </c>
      <c r="F13">
        <v>-10112.143</v>
      </c>
      <c r="G13">
        <v>11995.093000000001</v>
      </c>
      <c r="H13">
        <v>3453.0749999999998</v>
      </c>
      <c r="I13">
        <v>1017.282</v>
      </c>
      <c r="J13">
        <v>-22766.328000000001</v>
      </c>
      <c r="K13">
        <v>3317.0859999999998</v>
      </c>
      <c r="L13">
        <v>-7995.5680000000002</v>
      </c>
      <c r="N13">
        <v>2001</v>
      </c>
      <c r="O13">
        <f t="shared" si="0"/>
        <v>-0.36802857484787399</v>
      </c>
      <c r="P13">
        <f t="shared" si="1"/>
        <v>0.44673635468161688</v>
      </c>
      <c r="Q13">
        <f t="shared" si="2"/>
        <v>-0.29405396448396803</v>
      </c>
      <c r="R13">
        <f t="shared" si="3"/>
        <v>0.15894183766466899</v>
      </c>
      <c r="S13">
        <f t="shared" si="4"/>
        <v>0.88471926869010487</v>
      </c>
      <c r="T13">
        <f t="shared" si="5"/>
        <v>-1.0479129498191058</v>
      </c>
      <c r="U13">
        <f t="shared" si="6"/>
        <v>-0.51645912158119089</v>
      </c>
      <c r="X13">
        <f t="shared" si="7"/>
        <v>0.15268239019764884</v>
      </c>
      <c r="Y13">
        <f t="shared" si="8"/>
        <v>-0.52071096504552283</v>
      </c>
      <c r="AD13">
        <v>2001</v>
      </c>
      <c r="AE13">
        <v>0.15268239019764884</v>
      </c>
    </row>
    <row r="14" spans="1:31" x14ac:dyDescent="0.25">
      <c r="A14" s="2">
        <v>37621</v>
      </c>
      <c r="B14">
        <v>2198.12</v>
      </c>
      <c r="C14">
        <v>31542.720000000001</v>
      </c>
      <c r="D14">
        <v>7478.835</v>
      </c>
      <c r="E14">
        <v>1138.989</v>
      </c>
      <c r="F14">
        <v>-2882.107</v>
      </c>
      <c r="G14">
        <v>13922.271000000001</v>
      </c>
      <c r="H14">
        <v>10416.698</v>
      </c>
      <c r="I14">
        <v>1431.2670000000001</v>
      </c>
      <c r="J14">
        <v>-10811.472</v>
      </c>
      <c r="K14">
        <v>16882.503000000001</v>
      </c>
      <c r="L14">
        <v>41556.675000000003</v>
      </c>
      <c r="N14">
        <v>2002</v>
      </c>
      <c r="O14">
        <f t="shared" si="0"/>
        <v>1.8905553381980971</v>
      </c>
      <c r="P14">
        <f t="shared" si="1"/>
        <v>0.95942237002529451</v>
      </c>
      <c r="Q14">
        <f t="shared" si="2"/>
        <v>-0.19137954251815203</v>
      </c>
      <c r="R14">
        <f t="shared" si="3"/>
        <v>0.47389123432751634</v>
      </c>
      <c r="S14">
        <f t="shared" si="4"/>
        <v>1.4349862609866613</v>
      </c>
      <c r="T14">
        <f t="shared" si="5"/>
        <v>-0.49185085436645865</v>
      </c>
      <c r="U14">
        <f t="shared" si="6"/>
        <v>-0.29451413025676437</v>
      </c>
      <c r="X14">
        <f t="shared" si="7"/>
        <v>0.76804282750714248</v>
      </c>
      <c r="Y14">
        <f t="shared" si="8"/>
        <v>1.1225125106909546</v>
      </c>
      <c r="AD14">
        <v>2002</v>
      </c>
      <c r="AE14">
        <v>0.76804282750714248</v>
      </c>
    </row>
    <row r="15" spans="1:31" x14ac:dyDescent="0.25">
      <c r="A15" s="2">
        <v>37986</v>
      </c>
      <c r="B15">
        <v>2211.5700000000002</v>
      </c>
      <c r="C15">
        <v>24365.665000000001</v>
      </c>
      <c r="D15">
        <v>8655.93</v>
      </c>
      <c r="E15">
        <v>1653.825</v>
      </c>
      <c r="F15">
        <v>-2819.2550000000001</v>
      </c>
      <c r="G15">
        <v>14155.279</v>
      </c>
      <c r="H15">
        <v>11356.749</v>
      </c>
      <c r="I15">
        <v>1562.3140000000001</v>
      </c>
      <c r="J15">
        <v>-13263.957</v>
      </c>
      <c r="K15">
        <v>14429.114</v>
      </c>
      <c r="L15">
        <v>31267.527999999998</v>
      </c>
      <c r="N15">
        <v>2003</v>
      </c>
      <c r="O15">
        <f t="shared" si="0"/>
        <v>1.4138158864517061</v>
      </c>
      <c r="P15">
        <f t="shared" si="1"/>
        <v>1.0493944573312173</v>
      </c>
      <c r="Q15">
        <f t="shared" si="2"/>
        <v>-0.3969568677455384</v>
      </c>
      <c r="R15">
        <f t="shared" si="3"/>
        <v>0.5135152403043991</v>
      </c>
      <c r="S15">
        <f t="shared" si="4"/>
        <v>1.1017360969808776</v>
      </c>
      <c r="T15">
        <f t="shared" si="5"/>
        <v>-0.5997529809140113</v>
      </c>
      <c r="U15">
        <f t="shared" si="6"/>
        <v>-0.25412005950523819</v>
      </c>
      <c r="X15">
        <f t="shared" si="7"/>
        <v>0.65243758958567888</v>
      </c>
      <c r="Y15">
        <f t="shared" si="8"/>
        <v>0.7613782968660272</v>
      </c>
      <c r="AD15">
        <v>2003</v>
      </c>
      <c r="AE15">
        <v>0.65243758958567888</v>
      </c>
    </row>
    <row r="16" spans="1:31" x14ac:dyDescent="0.25">
      <c r="A16" s="2">
        <v>38352</v>
      </c>
      <c r="B16">
        <v>2262.52</v>
      </c>
      <c r="C16">
        <v>47808.603999999999</v>
      </c>
      <c r="D16">
        <v>18537.326000000001</v>
      </c>
      <c r="E16">
        <v>3036.9569999999999</v>
      </c>
      <c r="F16">
        <v>-1228.652</v>
      </c>
      <c r="G16">
        <v>18579.946</v>
      </c>
      <c r="H16">
        <v>18224.087</v>
      </c>
      <c r="I16">
        <v>2402.7280000000001</v>
      </c>
      <c r="J16">
        <v>-16835.555</v>
      </c>
      <c r="K16">
        <v>48158.044999999998</v>
      </c>
      <c r="L16">
        <v>102270.25199999999</v>
      </c>
      <c r="N16">
        <v>2004</v>
      </c>
      <c r="O16">
        <f t="shared" si="0"/>
        <v>4.5201921750967946</v>
      </c>
      <c r="P16">
        <f t="shared" si="1"/>
        <v>1.8266492671887988</v>
      </c>
      <c r="Q16">
        <f t="shared" si="2"/>
        <v>0.30186429291232741</v>
      </c>
      <c r="R16">
        <f t="shared" si="3"/>
        <v>0.80547738804518842</v>
      </c>
      <c r="S16">
        <f t="shared" si="4"/>
        <v>2.1130687905521279</v>
      </c>
      <c r="T16">
        <f t="shared" si="5"/>
        <v>-0.74410635044110107</v>
      </c>
      <c r="U16">
        <f t="shared" si="6"/>
        <v>0.21723878683945308</v>
      </c>
      <c r="X16">
        <f t="shared" si="7"/>
        <v>2.1285135601011262</v>
      </c>
      <c r="Y16">
        <f t="shared" si="8"/>
        <v>2.3916786149956684</v>
      </c>
      <c r="AD16">
        <v>2004</v>
      </c>
      <c r="AE16">
        <v>2.1285135601011262</v>
      </c>
    </row>
    <row r="17" spans="1:31" x14ac:dyDescent="0.25">
      <c r="A17" s="2">
        <v>38717</v>
      </c>
      <c r="B17">
        <v>2288.31</v>
      </c>
      <c r="C17">
        <v>50039.794999999998</v>
      </c>
      <c r="D17">
        <v>22489.911</v>
      </c>
      <c r="E17">
        <v>3321.31</v>
      </c>
      <c r="F17">
        <v>-1385.027</v>
      </c>
      <c r="G17">
        <v>20744.186000000002</v>
      </c>
      <c r="H17">
        <v>14135.583000000001</v>
      </c>
      <c r="I17">
        <v>4184.0739999999996</v>
      </c>
      <c r="J17">
        <v>-23162.296999999999</v>
      </c>
      <c r="K17">
        <v>63854.974000000002</v>
      </c>
      <c r="L17">
        <v>106941.928</v>
      </c>
      <c r="N17">
        <v>2005</v>
      </c>
      <c r="O17">
        <f t="shared" si="0"/>
        <v>4.6734021177200642</v>
      </c>
      <c r="P17">
        <f t="shared" si="1"/>
        <v>2.1568080373725587</v>
      </c>
      <c r="Q17">
        <f t="shared" si="2"/>
        <v>0.63367812927444289</v>
      </c>
      <c r="R17">
        <f t="shared" si="3"/>
        <v>0.61773024633900142</v>
      </c>
      <c r="S17">
        <f t="shared" si="4"/>
        <v>2.1867576945431342</v>
      </c>
      <c r="T17">
        <f t="shared" si="5"/>
        <v>-1.0122010129746406</v>
      </c>
      <c r="U17">
        <f t="shared" si="6"/>
        <v>9.0629023165567535E-2</v>
      </c>
      <c r="X17">
        <f t="shared" si="7"/>
        <v>2.7904861666470016</v>
      </c>
      <c r="Y17">
        <f t="shared" si="8"/>
        <v>1.8829159510730626</v>
      </c>
      <c r="AD17">
        <v>2005</v>
      </c>
      <c r="AE17">
        <v>2.7904861666470016</v>
      </c>
    </row>
    <row r="18" spans="1:31" x14ac:dyDescent="0.25">
      <c r="A18" s="2">
        <v>39082</v>
      </c>
      <c r="B18">
        <v>2385.08</v>
      </c>
      <c r="C18">
        <v>49498.021000000001</v>
      </c>
      <c r="D18">
        <v>25435.714</v>
      </c>
      <c r="E18">
        <v>4297.1319999999996</v>
      </c>
      <c r="F18">
        <v>-3233.5569999999998</v>
      </c>
      <c r="G18">
        <v>21775.41</v>
      </c>
      <c r="H18">
        <v>24885.629000000001</v>
      </c>
      <c r="I18">
        <v>4431.2749999999996</v>
      </c>
      <c r="J18">
        <v>-27605.922999999999</v>
      </c>
      <c r="K18">
        <v>88458.365999999995</v>
      </c>
      <c r="L18">
        <v>137673.93100000001</v>
      </c>
      <c r="N18">
        <v>2006</v>
      </c>
      <c r="O18">
        <f t="shared" si="0"/>
        <v>5.7722982457611494</v>
      </c>
      <c r="P18">
        <f t="shared" si="1"/>
        <v>2.2098199641102183</v>
      </c>
      <c r="Q18">
        <f t="shared" si="2"/>
        <v>1.4990017944890739</v>
      </c>
      <c r="R18">
        <f t="shared" si="3"/>
        <v>1.0433876012544652</v>
      </c>
      <c r="S18">
        <f t="shared" si="4"/>
        <v>2.0753191087929967</v>
      </c>
      <c r="T18">
        <f t="shared" si="5"/>
        <v>-1.1574422241601958</v>
      </c>
      <c r="U18">
        <f t="shared" si="6"/>
        <v>0.10221200127459107</v>
      </c>
      <c r="X18">
        <f t="shared" si="7"/>
        <v>3.7088217585992922</v>
      </c>
      <c r="Y18">
        <f t="shared" si="8"/>
        <v>2.0634764871618572</v>
      </c>
      <c r="AD18">
        <v>2006</v>
      </c>
      <c r="AE18">
        <v>3.7088217585992922</v>
      </c>
    </row>
    <row r="19" spans="1:31" x14ac:dyDescent="0.25">
      <c r="A19" s="2">
        <v>39447</v>
      </c>
      <c r="B19">
        <v>2499.5500000000002</v>
      </c>
      <c r="C19">
        <v>39622.485999999997</v>
      </c>
      <c r="D19">
        <v>31621.616999999998</v>
      </c>
      <c r="E19">
        <v>4710.3810000000003</v>
      </c>
      <c r="F19">
        <v>-261.166</v>
      </c>
      <c r="G19">
        <v>17088.708999999999</v>
      </c>
      <c r="H19">
        <v>34930.455999999998</v>
      </c>
      <c r="I19">
        <v>5503.652</v>
      </c>
      <c r="J19">
        <v>-25068.215</v>
      </c>
      <c r="K19">
        <v>107098.098</v>
      </c>
      <c r="L19">
        <v>171493.196</v>
      </c>
      <c r="N19">
        <v>2007</v>
      </c>
      <c r="O19">
        <f t="shared" si="0"/>
        <v>6.8609628133063953</v>
      </c>
      <c r="P19">
        <f t="shared" si="1"/>
        <v>2.3469501710307852</v>
      </c>
      <c r="Q19">
        <f t="shared" si="2"/>
        <v>1.9377449940989382</v>
      </c>
      <c r="R19">
        <f t="shared" si="3"/>
        <v>1.3974697845612207</v>
      </c>
      <c r="S19">
        <f t="shared" si="4"/>
        <v>1.5851847732591864</v>
      </c>
      <c r="T19">
        <f t="shared" si="5"/>
        <v>-1.0029091236422556</v>
      </c>
      <c r="U19">
        <f t="shared" si="6"/>
        <v>0.59652221399852001</v>
      </c>
      <c r="X19">
        <f t="shared" si="7"/>
        <v>4.2846951651297234</v>
      </c>
      <c r="Y19">
        <f t="shared" si="8"/>
        <v>2.576267648176672</v>
      </c>
      <c r="AD19">
        <v>2007</v>
      </c>
      <c r="AE19">
        <v>4.2846951651297234</v>
      </c>
    </row>
    <row r="20" spans="1:31" x14ac:dyDescent="0.25">
      <c r="A20" s="2">
        <v>39813</v>
      </c>
      <c r="B20">
        <v>2546.4899999999998</v>
      </c>
      <c r="C20">
        <v>36198.563000000002</v>
      </c>
      <c r="D20">
        <v>25574.924999999999</v>
      </c>
      <c r="E20">
        <v>4940.0780000000004</v>
      </c>
      <c r="F20">
        <v>-106.196</v>
      </c>
      <c r="G20">
        <v>20004.233</v>
      </c>
      <c r="H20">
        <v>31983.562999999998</v>
      </c>
      <c r="I20">
        <v>4844.5349999999999</v>
      </c>
      <c r="J20">
        <v>-18628.228999999999</v>
      </c>
      <c r="K20">
        <v>87448.551000000007</v>
      </c>
      <c r="L20">
        <v>144954.03</v>
      </c>
      <c r="N20">
        <v>2008</v>
      </c>
      <c r="O20">
        <f t="shared" si="0"/>
        <v>5.6923070579503561</v>
      </c>
      <c r="P20">
        <f t="shared" si="1"/>
        <v>2.1699505986671852</v>
      </c>
      <c r="Q20">
        <f t="shared" si="2"/>
        <v>1.2641312551786976</v>
      </c>
      <c r="R20">
        <f t="shared" si="3"/>
        <v>1.2559862006133933</v>
      </c>
      <c r="S20">
        <f t="shared" si="4"/>
        <v>1.4215081543614938</v>
      </c>
      <c r="T20">
        <f t="shared" si="5"/>
        <v>-0.73152570793523641</v>
      </c>
      <c r="U20">
        <f t="shared" si="6"/>
        <v>0.31225655706482258</v>
      </c>
      <c r="X20">
        <f t="shared" si="7"/>
        <v>3.4340818538458828</v>
      </c>
      <c r="Y20">
        <f t="shared" si="8"/>
        <v>2.2582252041044732</v>
      </c>
      <c r="AD20">
        <v>2008</v>
      </c>
      <c r="AE20">
        <v>3.4340818538458828</v>
      </c>
    </row>
    <row r="21" spans="1:31" x14ac:dyDescent="0.25">
      <c r="A21" s="2">
        <v>40178</v>
      </c>
      <c r="B21">
        <v>2445.73</v>
      </c>
      <c r="C21">
        <v>22086.421999999999</v>
      </c>
      <c r="D21">
        <v>11322.609</v>
      </c>
      <c r="E21">
        <v>4157.2529999999997</v>
      </c>
      <c r="F21">
        <v>1039.2090000000001</v>
      </c>
      <c r="G21">
        <v>16391.388999999999</v>
      </c>
      <c r="H21">
        <v>19780.518</v>
      </c>
      <c r="I21">
        <v>3945.1529999999998</v>
      </c>
      <c r="J21">
        <v>-3359.223</v>
      </c>
      <c r="K21">
        <v>92420.267000000007</v>
      </c>
      <c r="L21">
        <v>142744.394</v>
      </c>
      <c r="N21">
        <v>2009</v>
      </c>
      <c r="O21">
        <f t="shared" si="0"/>
        <v>5.8364739362071854</v>
      </c>
      <c r="P21">
        <f t="shared" si="1"/>
        <v>1.5069371108012739</v>
      </c>
      <c r="Q21">
        <f t="shared" si="2"/>
        <v>2.271904666500391</v>
      </c>
      <c r="R21">
        <f t="shared" si="3"/>
        <v>0.80877766556406472</v>
      </c>
      <c r="S21">
        <f t="shared" si="4"/>
        <v>0.90306051771863616</v>
      </c>
      <c r="T21">
        <f t="shared" si="5"/>
        <v>-0.13735052520106469</v>
      </c>
      <c r="U21">
        <f t="shared" si="6"/>
        <v>0.48314450082388438</v>
      </c>
      <c r="X21">
        <f t="shared" si="7"/>
        <v>3.7788417773016647</v>
      </c>
      <c r="Y21">
        <f t="shared" si="8"/>
        <v>2.0576321589055206</v>
      </c>
      <c r="AD21">
        <v>2009</v>
      </c>
      <c r="AE21">
        <v>3.7788417773016647</v>
      </c>
    </row>
    <row r="22" spans="1:31" x14ac:dyDescent="0.25">
      <c r="A22" s="2">
        <v>40543</v>
      </c>
      <c r="B22">
        <v>2564.4</v>
      </c>
      <c r="C22">
        <v>36655.029000000002</v>
      </c>
      <c r="D22">
        <v>12625.521000000001</v>
      </c>
      <c r="E22">
        <v>3242.3850000000002</v>
      </c>
      <c r="F22">
        <v>-240.71199999999999</v>
      </c>
      <c r="G22">
        <v>17919.985000000001</v>
      </c>
      <c r="H22">
        <v>28882.775000000001</v>
      </c>
      <c r="I22">
        <v>4699.1580000000004</v>
      </c>
      <c r="J22">
        <v>-7854.2269999999999</v>
      </c>
      <c r="K22">
        <v>73656.251999999993</v>
      </c>
      <c r="L22">
        <v>147298.45499999999</v>
      </c>
      <c r="N22">
        <v>2010</v>
      </c>
      <c r="O22">
        <f t="shared" si="0"/>
        <v>5.7439734440804866</v>
      </c>
      <c r="P22">
        <f t="shared" si="1"/>
        <v>1.49143413664015</v>
      </c>
      <c r="Q22">
        <f t="shared" si="2"/>
        <v>1.380826509124941</v>
      </c>
      <c r="R22">
        <f t="shared" si="3"/>
        <v>1.1262975744813601</v>
      </c>
      <c r="S22">
        <f t="shared" si="4"/>
        <v>1.4293803228825457</v>
      </c>
      <c r="T22">
        <f t="shared" si="5"/>
        <v>-0.30627932459834656</v>
      </c>
      <c r="U22">
        <f t="shared" si="6"/>
        <v>0.6223142255498364</v>
      </c>
      <c r="X22">
        <f t="shared" si="7"/>
        <v>2.872260645765091</v>
      </c>
      <c r="Y22">
        <f t="shared" si="8"/>
        <v>2.8717127983153956</v>
      </c>
      <c r="AD22">
        <v>2010</v>
      </c>
      <c r="AE22">
        <v>2.872260645765091</v>
      </c>
    </row>
    <row r="23" spans="1:31" x14ac:dyDescent="0.25">
      <c r="A23" s="2">
        <v>40908</v>
      </c>
      <c r="B23">
        <v>2693.56</v>
      </c>
      <c r="C23">
        <v>38289.07</v>
      </c>
      <c r="D23">
        <v>11219.501</v>
      </c>
      <c r="E23">
        <v>1654.1679999999999</v>
      </c>
      <c r="F23">
        <v>-1864.973</v>
      </c>
      <c r="G23">
        <v>16641.565999999999</v>
      </c>
      <c r="H23">
        <v>35115.487000000001</v>
      </c>
      <c r="I23">
        <v>3420.94</v>
      </c>
      <c r="J23">
        <v>4976.45</v>
      </c>
      <c r="K23">
        <v>79802.312999999995</v>
      </c>
      <c r="L23">
        <v>167340.31700000001</v>
      </c>
      <c r="N23">
        <v>2011</v>
      </c>
      <c r="O23">
        <f t="shared" si="0"/>
        <v>6.2126077384576543</v>
      </c>
      <c r="P23">
        <f t="shared" si="1"/>
        <v>1.1535366578060262</v>
      </c>
      <c r="Q23">
        <f t="shared" si="2"/>
        <v>1.809171171238064</v>
      </c>
      <c r="R23">
        <f t="shared" si="3"/>
        <v>1.3036831182524244</v>
      </c>
      <c r="S23">
        <f t="shared" si="4"/>
        <v>1.4215042545924352</v>
      </c>
      <c r="T23">
        <f t="shared" si="5"/>
        <v>0.18475363459510835</v>
      </c>
      <c r="U23">
        <f t="shared" si="6"/>
        <v>0.33995890197359607</v>
      </c>
      <c r="X23">
        <f t="shared" si="7"/>
        <v>2.9627078290440902</v>
      </c>
      <c r="Y23">
        <f t="shared" si="8"/>
        <v>3.2498999094135641</v>
      </c>
      <c r="AD23">
        <v>2011</v>
      </c>
      <c r="AE23">
        <v>2.9627078290440902</v>
      </c>
    </row>
    <row r="24" spans="1:31" x14ac:dyDescent="0.25">
      <c r="A24" s="2">
        <v>41274</v>
      </c>
      <c r="B24">
        <v>2745.31</v>
      </c>
      <c r="C24">
        <v>50617.385000000002</v>
      </c>
      <c r="D24">
        <v>5462.6760000000004</v>
      </c>
      <c r="E24">
        <v>1212.0989999999999</v>
      </c>
      <c r="F24">
        <v>-4617.22</v>
      </c>
      <c r="G24">
        <v>8335.2289999999994</v>
      </c>
      <c r="H24">
        <v>40279.595999999998</v>
      </c>
      <c r="I24">
        <v>2051.4830000000002</v>
      </c>
      <c r="J24">
        <v>21404.364000000001</v>
      </c>
      <c r="K24">
        <v>64479.68</v>
      </c>
      <c r="L24">
        <v>195712.20800000001</v>
      </c>
      <c r="N24">
        <v>2012</v>
      </c>
      <c r="O24">
        <f t="shared" si="0"/>
        <v>7.1289656905777488</v>
      </c>
      <c r="P24">
        <f t="shared" si="1"/>
        <v>0.45329186867785426</v>
      </c>
      <c r="Q24">
        <f t="shared" si="2"/>
        <v>1.8954294050580809</v>
      </c>
      <c r="R24">
        <f t="shared" si="3"/>
        <v>1.4672148500533639</v>
      </c>
      <c r="S24">
        <f t="shared" si="4"/>
        <v>1.8437766591022511</v>
      </c>
      <c r="T24">
        <f t="shared" si="5"/>
        <v>0.77967020117946606</v>
      </c>
      <c r="U24">
        <f t="shared" si="6"/>
        <v>0.68958270650673303</v>
      </c>
      <c r="X24">
        <f t="shared" si="7"/>
        <v>2.3487212737359351</v>
      </c>
      <c r="Y24">
        <f t="shared" si="8"/>
        <v>4.7802444168418141</v>
      </c>
      <c r="AD24">
        <v>2012</v>
      </c>
      <c r="AE24">
        <v>2.3487212737359351</v>
      </c>
    </row>
    <row r="25" spans="1:31" x14ac:dyDescent="0.25">
      <c r="A25" s="2">
        <v>41639</v>
      </c>
      <c r="B25">
        <v>2811.35</v>
      </c>
      <c r="C25">
        <v>68508.312999999995</v>
      </c>
      <c r="D25">
        <v>1890.749</v>
      </c>
      <c r="E25">
        <v>689.04899999999998</v>
      </c>
      <c r="F25">
        <v>-5889.84</v>
      </c>
      <c r="G25">
        <v>6565.8019999999997</v>
      </c>
      <c r="H25">
        <v>30086.954000000002</v>
      </c>
      <c r="I25">
        <v>1865.12</v>
      </c>
      <c r="J25">
        <v>25934.273000000001</v>
      </c>
      <c r="K25">
        <v>40858.788</v>
      </c>
      <c r="L25">
        <v>184351.89499999999</v>
      </c>
      <c r="N25">
        <v>2013</v>
      </c>
      <c r="O25">
        <f t="shared" si="0"/>
        <v>6.5574152986999117</v>
      </c>
      <c r="P25">
        <f t="shared" si="1"/>
        <v>0.18215021253134614</v>
      </c>
      <c r="Q25">
        <f t="shared" si="2"/>
        <v>1.2712009532786739</v>
      </c>
      <c r="R25">
        <f t="shared" si="3"/>
        <v>1.0701959556796556</v>
      </c>
      <c r="S25">
        <f t="shared" si="4"/>
        <v>2.4368475287673181</v>
      </c>
      <c r="T25">
        <f t="shared" si="5"/>
        <v>0.9224846781795224</v>
      </c>
      <c r="U25">
        <f t="shared" si="6"/>
        <v>0.67453597026339529</v>
      </c>
      <c r="X25">
        <f t="shared" si="7"/>
        <v>1.45335116581002</v>
      </c>
      <c r="Y25">
        <f t="shared" si="8"/>
        <v>5.1040641328898921</v>
      </c>
      <c r="AD25">
        <v>2013</v>
      </c>
      <c r="AE25">
        <v>1.45335116581002</v>
      </c>
    </row>
    <row r="26" spans="1:31" x14ac:dyDescent="0.25">
      <c r="A26" s="2">
        <v>42004</v>
      </c>
      <c r="B26">
        <v>2927.43</v>
      </c>
      <c r="C26">
        <v>80802.869000000006</v>
      </c>
      <c r="D26">
        <v>4481.8339999999998</v>
      </c>
      <c r="E26">
        <v>867.41300000000001</v>
      </c>
      <c r="F26">
        <v>-5211.4949999999999</v>
      </c>
      <c r="G26">
        <v>7932.5349999999999</v>
      </c>
      <c r="H26">
        <v>38518.169000000002</v>
      </c>
      <c r="I26">
        <v>2610.9160000000002</v>
      </c>
      <c r="J26">
        <v>34465.048000000003</v>
      </c>
      <c r="K26">
        <v>44423.525999999998</v>
      </c>
      <c r="L26">
        <v>210906.04</v>
      </c>
      <c r="N26">
        <v>2014</v>
      </c>
      <c r="O26">
        <f t="shared" si="0"/>
        <v>7.2044776476294912</v>
      </c>
      <c r="P26">
        <f t="shared" si="1"/>
        <v>0.36486621370963612</v>
      </c>
      <c r="Q26">
        <f t="shared" si="2"/>
        <v>1.1526261259876409</v>
      </c>
      <c r="R26">
        <f t="shared" si="3"/>
        <v>1.3157673795786748</v>
      </c>
      <c r="S26">
        <f t="shared" si="4"/>
        <v>2.7601981601609604</v>
      </c>
      <c r="T26">
        <f t="shared" si="5"/>
        <v>1.1773141629347246</v>
      </c>
      <c r="U26">
        <f t="shared" si="6"/>
        <v>0.43370560525785451</v>
      </c>
      <c r="X26">
        <f t="shared" si="7"/>
        <v>1.517492339697277</v>
      </c>
      <c r="Y26">
        <f t="shared" si="8"/>
        <v>5.6869853079322139</v>
      </c>
      <c r="AD26">
        <v>2014</v>
      </c>
      <c r="AE26">
        <v>1.517492339697277</v>
      </c>
    </row>
    <row r="27" spans="1:31" x14ac:dyDescent="0.25">
      <c r="A27" s="2">
        <v>42369</v>
      </c>
      <c r="B27">
        <v>3030.07</v>
      </c>
      <c r="C27">
        <v>92838.284</v>
      </c>
      <c r="D27">
        <v>5338.5690000000004</v>
      </c>
      <c r="E27">
        <v>950.66399999999999</v>
      </c>
      <c r="F27">
        <v>-6106.2049999999999</v>
      </c>
      <c r="G27">
        <v>12088.089</v>
      </c>
      <c r="H27">
        <v>44751.41</v>
      </c>
      <c r="I27">
        <v>2541.7220000000002</v>
      </c>
      <c r="J27">
        <v>20910.57</v>
      </c>
      <c r="K27">
        <v>82045.585000000006</v>
      </c>
      <c r="L27">
        <v>260285.88399999999</v>
      </c>
      <c r="N27">
        <v>2015</v>
      </c>
      <c r="O27">
        <f t="shared" si="0"/>
        <v>8.5900947502862959</v>
      </c>
      <c r="P27">
        <f t="shared" si="1"/>
        <v>0.48886128043246524</v>
      </c>
      <c r="Q27">
        <f t="shared" si="2"/>
        <v>2.2188512476609454</v>
      </c>
      <c r="R27">
        <f t="shared" si="3"/>
        <v>1.4769101043870274</v>
      </c>
      <c r="S27">
        <f t="shared" si="4"/>
        <v>3.0638989858320103</v>
      </c>
      <c r="T27">
        <f t="shared" si="5"/>
        <v>0.69010187883448226</v>
      </c>
      <c r="U27">
        <f t="shared" si="6"/>
        <v>0.65147125313936638</v>
      </c>
      <c r="X27">
        <f t="shared" si="7"/>
        <v>2.7077125280934107</v>
      </c>
      <c r="Y27">
        <f t="shared" si="8"/>
        <v>5.8823822221928852</v>
      </c>
      <c r="AD27">
        <v>2015</v>
      </c>
      <c r="AE27">
        <v>2.7077125280934107</v>
      </c>
    </row>
    <row r="28" spans="1:31" x14ac:dyDescent="0.25">
      <c r="A28" s="2">
        <v>42735</v>
      </c>
      <c r="B28">
        <v>3134.1</v>
      </c>
      <c r="C28">
        <v>87037.906000000003</v>
      </c>
      <c r="D28">
        <v>4383.13</v>
      </c>
      <c r="E28">
        <v>775.85299999999995</v>
      </c>
      <c r="F28">
        <v>-7195.1419999999998</v>
      </c>
      <c r="G28">
        <v>10578.736000000001</v>
      </c>
      <c r="H28">
        <v>46135.906999999999</v>
      </c>
      <c r="I28">
        <v>1216.43</v>
      </c>
      <c r="J28">
        <v>23626.346000000001</v>
      </c>
      <c r="K28">
        <v>83051.096000000005</v>
      </c>
      <c r="L28">
        <v>266689.31</v>
      </c>
      <c r="N28">
        <v>2016</v>
      </c>
      <c r="O28">
        <f t="shared" si="0"/>
        <v>8.5092788998436557</v>
      </c>
      <c r="P28">
        <f t="shared" si="1"/>
        <v>0.31138148112695835</v>
      </c>
      <c r="Q28">
        <f t="shared" si="2"/>
        <v>2.3385370281739579</v>
      </c>
      <c r="R28">
        <f t="shared" si="3"/>
        <v>1.4720623783542324</v>
      </c>
      <c r="S28">
        <f t="shared" si="4"/>
        <v>2.7771260010848411</v>
      </c>
      <c r="T28">
        <f t="shared" si="5"/>
        <v>0.75384786701126327</v>
      </c>
      <c r="U28">
        <f t="shared" si="6"/>
        <v>0.85632414409240309</v>
      </c>
      <c r="X28">
        <f t="shared" si="7"/>
        <v>2.6499185093009161</v>
      </c>
      <c r="Y28">
        <f t="shared" si="8"/>
        <v>5.85936039054274</v>
      </c>
      <c r="AD28">
        <v>2016</v>
      </c>
      <c r="AE28">
        <v>2.6499185093009161</v>
      </c>
    </row>
    <row r="29" spans="1:31" x14ac:dyDescent="0.25">
      <c r="A29" s="2">
        <v>43100</v>
      </c>
      <c r="B29">
        <v>3244.99</v>
      </c>
      <c r="C29">
        <v>78810.452000000005</v>
      </c>
      <c r="D29">
        <v>5515.9740000000002</v>
      </c>
      <c r="E29">
        <v>325.59300000000002</v>
      </c>
      <c r="F29">
        <v>-6372.7330000000002</v>
      </c>
      <c r="G29">
        <v>9297.0069999999996</v>
      </c>
      <c r="H29">
        <v>41973.502999999997</v>
      </c>
      <c r="I29">
        <v>1809.527</v>
      </c>
      <c r="J29">
        <v>22385.348000000002</v>
      </c>
      <c r="K29">
        <v>83594.123000000007</v>
      </c>
      <c r="L29">
        <v>253883.296</v>
      </c>
      <c r="N29">
        <v>2017</v>
      </c>
      <c r="O29">
        <f t="shared" si="0"/>
        <v>7.8238544956995257</v>
      </c>
      <c r="P29">
        <f t="shared" si="1"/>
        <v>0.32589832326139684</v>
      </c>
      <c r="Q29">
        <f t="shared" si="2"/>
        <v>2.2501996924489758</v>
      </c>
      <c r="R29">
        <f t="shared" si="3"/>
        <v>1.2934863589718304</v>
      </c>
      <c r="S29">
        <f t="shared" si="4"/>
        <v>2.4286808896175338</v>
      </c>
      <c r="T29">
        <f t="shared" si="5"/>
        <v>0.6898433585311512</v>
      </c>
      <c r="U29">
        <f t="shared" si="6"/>
        <v>0.83574587286863755</v>
      </c>
      <c r="X29">
        <f t="shared" si="7"/>
        <v>2.5760980157103726</v>
      </c>
      <c r="Y29">
        <f t="shared" si="8"/>
        <v>5.2477564799891532</v>
      </c>
      <c r="AD29">
        <v>2017</v>
      </c>
      <c r="AE29">
        <v>2.5760980157103726</v>
      </c>
    </row>
    <row r="30" spans="1:31" x14ac:dyDescent="0.25">
      <c r="A30" s="2">
        <v>43465</v>
      </c>
      <c r="B30">
        <v>3344.37</v>
      </c>
      <c r="C30">
        <v>95928.214000000007</v>
      </c>
      <c r="D30">
        <v>6806.15</v>
      </c>
      <c r="E30">
        <v>517.51400000000001</v>
      </c>
      <c r="F30">
        <v>-7740.0619999999999</v>
      </c>
      <c r="G30">
        <v>12183.123</v>
      </c>
      <c r="H30">
        <v>39379.785000000003</v>
      </c>
      <c r="I30">
        <v>1220.335</v>
      </c>
      <c r="J30">
        <v>21130.098999999998</v>
      </c>
      <c r="K30">
        <v>78879.812000000005</v>
      </c>
      <c r="L30">
        <v>247471.25599999999</v>
      </c>
      <c r="N30">
        <v>2018</v>
      </c>
      <c r="O30">
        <f t="shared" si="0"/>
        <v>7.3996374803027178</v>
      </c>
      <c r="P30">
        <f t="shared" si="1"/>
        <v>0.38832605244036988</v>
      </c>
      <c r="Q30">
        <f t="shared" si="2"/>
        <v>1.9702590323439093</v>
      </c>
      <c r="R30">
        <f t="shared" si="3"/>
        <v>1.1774948645036285</v>
      </c>
      <c r="S30">
        <f t="shared" si="4"/>
        <v>2.8683493154166557</v>
      </c>
      <c r="T30">
        <f t="shared" si="5"/>
        <v>0.631811043634526</v>
      </c>
      <c r="U30">
        <f t="shared" si="6"/>
        <v>0.36339717196362875</v>
      </c>
      <c r="X30">
        <f t="shared" si="7"/>
        <v>2.3585850847842793</v>
      </c>
      <c r="Y30">
        <f t="shared" si="8"/>
        <v>5.0410523955184381</v>
      </c>
      <c r="AD30">
        <v>2018</v>
      </c>
      <c r="AE30">
        <v>2.3585850847842793</v>
      </c>
    </row>
    <row r="31" spans="1:31" x14ac:dyDescent="0.25">
      <c r="A31" s="2">
        <v>43830</v>
      </c>
      <c r="B31">
        <v>3435.21</v>
      </c>
      <c r="C31">
        <v>97401.407999999996</v>
      </c>
      <c r="D31">
        <v>6707.3819999999996</v>
      </c>
      <c r="E31">
        <v>143.90299999999999</v>
      </c>
      <c r="F31">
        <v>-17692.800999999999</v>
      </c>
      <c r="G31">
        <v>10668.200999999999</v>
      </c>
      <c r="H31">
        <v>38043.023999999998</v>
      </c>
      <c r="I31">
        <v>542.82600000000002</v>
      </c>
      <c r="J31">
        <v>18490.919000000002</v>
      </c>
      <c r="K31">
        <v>75589.626999999993</v>
      </c>
      <c r="L31">
        <v>243990.573</v>
      </c>
      <c r="N31">
        <v>2019</v>
      </c>
      <c r="O31">
        <f t="shared" si="0"/>
        <v>7.1026392272961463</v>
      </c>
      <c r="P31">
        <f t="shared" si="1"/>
        <v>1.0756576744944254E-2</v>
      </c>
      <c r="Q31">
        <f t="shared" si="2"/>
        <v>2.1896802815548391</v>
      </c>
      <c r="R31">
        <f t="shared" si="3"/>
        <v>1.1074439117259205</v>
      </c>
      <c r="S31">
        <f t="shared" si="4"/>
        <v>2.8353843869807087</v>
      </c>
      <c r="T31">
        <f t="shared" si="5"/>
        <v>0.53827623347626496</v>
      </c>
      <c r="U31">
        <f t="shared" si="6"/>
        <v>0.42109783681346902</v>
      </c>
      <c r="X31">
        <f t="shared" si="7"/>
        <v>2.2004368582997835</v>
      </c>
      <c r="Y31">
        <f t="shared" si="8"/>
        <v>4.9022023689963632</v>
      </c>
      <c r="AD31">
        <v>2019</v>
      </c>
      <c r="AE31">
        <v>2.2004368582997835</v>
      </c>
    </row>
    <row r="34" spans="24:31" x14ac:dyDescent="0.25">
      <c r="X34" s="4" t="s">
        <v>56</v>
      </c>
      <c r="AE34" s="4"/>
    </row>
    <row r="35" spans="24:31" x14ac:dyDescent="0.25">
      <c r="X35" s="4">
        <f>CORREL(X3:X31,Finanzierungssalden!K3:K31)</f>
        <v>0.82170295460616372</v>
      </c>
      <c r="AE35" s="4"/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B1" sqref="B1"/>
    </sheetView>
  </sheetViews>
  <sheetFormatPr baseColWidth="10" defaultColWidth="10.85546875" defaultRowHeight="15" x14ac:dyDescent="0.25"/>
  <cols>
    <col min="8" max="9" width="11.42578125" style="1"/>
  </cols>
  <sheetData>
    <row r="1" spans="1:9" x14ac:dyDescent="0.25">
      <c r="B1" t="s">
        <v>62</v>
      </c>
      <c r="C1" t="s">
        <v>61</v>
      </c>
      <c r="D1" t="s">
        <v>63</v>
      </c>
      <c r="F1" t="s">
        <v>60</v>
      </c>
      <c r="G1" t="s">
        <v>64</v>
      </c>
    </row>
    <row r="2" spans="1:9" ht="15.75" thickBot="1" x14ac:dyDescent="0.3">
      <c r="A2">
        <v>1995</v>
      </c>
      <c r="B2">
        <v>-0.68750114289484388</v>
      </c>
      <c r="C2">
        <v>2.9974506626693622</v>
      </c>
      <c r="D2">
        <f>I2*100</f>
        <v>11.326295225779482</v>
      </c>
      <c r="F2" s="7">
        <v>83.8</v>
      </c>
      <c r="G2" s="6">
        <v>75.8</v>
      </c>
      <c r="H2" s="1">
        <f>F2/G2</f>
        <v>1.1055408970976253</v>
      </c>
      <c r="I2" s="1">
        <f>H2/$H$12-1</f>
        <v>0.11326295225779481</v>
      </c>
    </row>
    <row r="3" spans="1:9" ht="15.75" thickBot="1" x14ac:dyDescent="0.3">
      <c r="A3">
        <v>1996</v>
      </c>
      <c r="B3">
        <v>-0.52725537607344719</v>
      </c>
      <c r="C3">
        <v>3.2127949702817764</v>
      </c>
      <c r="D3">
        <f t="shared" ref="D3:D26" si="0">(F3/G3-1)*100</f>
        <v>9.2327698309492732</v>
      </c>
      <c r="F3" s="7">
        <v>84</v>
      </c>
      <c r="G3" s="6">
        <v>76.900000000000006</v>
      </c>
      <c r="H3" s="1">
        <f t="shared" ref="H3:H10" si="1">F3/G3</f>
        <v>1.0923276983094927</v>
      </c>
      <c r="I3" s="1">
        <f t="shared" ref="I3:I26" si="2">H3/$H$12-1</f>
        <v>9.995746104506531E-2</v>
      </c>
    </row>
    <row r="4" spans="1:9" ht="15.75" thickBot="1" x14ac:dyDescent="0.3">
      <c r="A4">
        <v>1997</v>
      </c>
      <c r="B4">
        <v>-0.62725592494709725</v>
      </c>
      <c r="C4">
        <v>3.2032225989852892</v>
      </c>
      <c r="D4">
        <f t="shared" si="0"/>
        <v>7.3738680465718076</v>
      </c>
      <c r="F4" s="7">
        <v>83</v>
      </c>
      <c r="G4" s="6">
        <v>77.3</v>
      </c>
      <c r="H4" s="1">
        <f t="shared" si="1"/>
        <v>1.0737386804657181</v>
      </c>
      <c r="I4" s="1">
        <f t="shared" si="2"/>
        <v>8.1238601400286381E-2</v>
      </c>
    </row>
    <row r="5" spans="1:9" ht="15.75" thickBot="1" x14ac:dyDescent="0.3">
      <c r="A5">
        <v>1998</v>
      </c>
      <c r="B5">
        <v>-0.37678306939962869</v>
      </c>
      <c r="C5">
        <v>3.3776471639479353</v>
      </c>
      <c r="D5">
        <f t="shared" si="0"/>
        <v>7.4838709677419235</v>
      </c>
      <c r="F5" s="7">
        <v>83.3</v>
      </c>
      <c r="G5" s="6">
        <v>77.5</v>
      </c>
      <c r="H5" s="1">
        <f t="shared" si="1"/>
        <v>1.0748387096774192</v>
      </c>
      <c r="I5" s="1">
        <f t="shared" si="2"/>
        <v>8.2346314168763035E-2</v>
      </c>
    </row>
    <row r="6" spans="1:9" ht="15.75" thickBot="1" x14ac:dyDescent="0.3">
      <c r="A6">
        <v>1999</v>
      </c>
      <c r="B6">
        <v>-0.25741395886340246</v>
      </c>
      <c r="C6">
        <v>3.371724901431429</v>
      </c>
      <c r="D6">
        <f t="shared" si="0"/>
        <v>7.1337579617834379</v>
      </c>
      <c r="F6" s="7">
        <v>84.1</v>
      </c>
      <c r="G6" s="6">
        <v>78.5</v>
      </c>
      <c r="H6" s="1">
        <f t="shared" si="1"/>
        <v>1.0713375796178344</v>
      </c>
      <c r="I6" s="1">
        <f t="shared" si="2"/>
        <v>7.8820729184431393E-2</v>
      </c>
    </row>
    <row r="7" spans="1:9" ht="15.75" thickBot="1" x14ac:dyDescent="0.3">
      <c r="A7">
        <v>2000</v>
      </c>
      <c r="B7">
        <v>0.51652153298341941</v>
      </c>
      <c r="C7">
        <v>3.5735791265427266</v>
      </c>
      <c r="D7">
        <f t="shared" si="0"/>
        <v>6.6750629722921895</v>
      </c>
      <c r="F7" s="7">
        <v>84.7</v>
      </c>
      <c r="G7" s="6">
        <v>79.400000000000006</v>
      </c>
      <c r="H7" s="1">
        <f t="shared" si="1"/>
        <v>1.0667506297229219</v>
      </c>
      <c r="I7" s="1">
        <f t="shared" si="2"/>
        <v>7.4201740058588372E-2</v>
      </c>
    </row>
    <row r="8" spans="1:9" ht="15.75" thickBot="1" x14ac:dyDescent="0.3">
      <c r="A8">
        <v>2001</v>
      </c>
      <c r="B8">
        <v>0.15268239019764884</v>
      </c>
      <c r="C8">
        <v>4.4786287018881126</v>
      </c>
      <c r="D8">
        <f t="shared" si="0"/>
        <v>4.7029702970297071</v>
      </c>
      <c r="F8" s="7">
        <v>84.6</v>
      </c>
      <c r="G8" s="6">
        <v>80.8</v>
      </c>
      <c r="H8" s="1">
        <f t="shared" si="1"/>
        <v>1.0470297029702971</v>
      </c>
      <c r="I8" s="1">
        <f t="shared" si="2"/>
        <v>5.4343065272766999E-2</v>
      </c>
    </row>
    <row r="9" spans="1:9" ht="15.75" thickBot="1" x14ac:dyDescent="0.3">
      <c r="A9">
        <v>2002</v>
      </c>
      <c r="B9">
        <v>0.76804282750714248</v>
      </c>
      <c r="C9">
        <v>4.6062089421869601</v>
      </c>
      <c r="D9">
        <f t="shared" si="0"/>
        <v>3.1400966183575019</v>
      </c>
      <c r="F9" s="7">
        <v>85.4</v>
      </c>
      <c r="G9" s="6">
        <v>82.8</v>
      </c>
      <c r="H9" s="1">
        <f t="shared" si="1"/>
        <v>1.031400966183575</v>
      </c>
      <c r="I9" s="1">
        <f t="shared" si="2"/>
        <v>3.8605163851911817E-2</v>
      </c>
    </row>
    <row r="10" spans="1:9" ht="15.75" thickBot="1" x14ac:dyDescent="0.3">
      <c r="A10">
        <v>2003</v>
      </c>
      <c r="B10">
        <v>0.65243758958567888</v>
      </c>
      <c r="C10">
        <v>5.6566149839254463</v>
      </c>
      <c r="D10">
        <f t="shared" si="0"/>
        <v>2.2458628841607542</v>
      </c>
      <c r="F10" s="7">
        <v>86.5</v>
      </c>
      <c r="G10" s="6">
        <v>84.6</v>
      </c>
      <c r="H10" s="1">
        <f t="shared" si="1"/>
        <v>1.0224586288416075</v>
      </c>
      <c r="I10" s="1">
        <f t="shared" si="2"/>
        <v>2.9600365480780377E-2</v>
      </c>
    </row>
    <row r="11" spans="1:9" ht="15.75" thickBot="1" x14ac:dyDescent="0.3">
      <c r="A11">
        <v>2004</v>
      </c>
      <c r="B11">
        <v>2.1285135601011262</v>
      </c>
      <c r="C11">
        <v>5.896080476636671</v>
      </c>
      <c r="D11">
        <f t="shared" si="0"/>
        <v>1.2880562060889833</v>
      </c>
      <c r="F11" s="7">
        <v>86.5</v>
      </c>
      <c r="G11" s="6">
        <v>85.4</v>
      </c>
      <c r="H11" s="1">
        <f>F11/G11</f>
        <v>1.0128805620608898</v>
      </c>
      <c r="I11" s="1">
        <f t="shared" si="2"/>
        <v>1.9955397185878576E-2</v>
      </c>
    </row>
    <row r="12" spans="1:9" ht="15.75" thickBot="1" x14ac:dyDescent="0.3">
      <c r="A12">
        <v>2005</v>
      </c>
      <c r="B12">
        <v>2.7904861666470016</v>
      </c>
      <c r="C12">
        <v>6.3234439389767987</v>
      </c>
      <c r="D12">
        <f t="shared" si="0"/>
        <v>-0.69364161849709838</v>
      </c>
      <c r="F12" s="7">
        <v>85.9</v>
      </c>
      <c r="G12" s="6">
        <v>86.5</v>
      </c>
      <c r="H12" s="1">
        <f>F12/G12</f>
        <v>0.99306358381502902</v>
      </c>
      <c r="I12" s="1">
        <f t="shared" si="2"/>
        <v>0</v>
      </c>
    </row>
    <row r="13" spans="1:9" ht="15.75" thickBot="1" x14ac:dyDescent="0.3">
      <c r="A13">
        <v>2006</v>
      </c>
      <c r="B13">
        <v>3.7088217585992922</v>
      </c>
      <c r="C13">
        <v>5.735656665604508</v>
      </c>
      <c r="D13">
        <f t="shared" si="0"/>
        <v>-3.5550458715596478</v>
      </c>
      <c r="F13" s="7">
        <v>84.1</v>
      </c>
      <c r="G13" s="6">
        <v>87.2</v>
      </c>
      <c r="H13" s="1">
        <f t="shared" ref="H13:H25" si="3">F13/G13</f>
        <v>0.96444954128440352</v>
      </c>
      <c r="I13" s="1">
        <f t="shared" si="2"/>
        <v>-2.8813907786951143E-2</v>
      </c>
    </row>
    <row r="14" spans="1:9" ht="15.75" thickBot="1" x14ac:dyDescent="0.3">
      <c r="A14">
        <v>2007</v>
      </c>
      <c r="B14">
        <v>4.2846951651297234</v>
      </c>
      <c r="C14">
        <v>5.4489808165469782</v>
      </c>
      <c r="D14">
        <f t="shared" si="0"/>
        <v>-5.3107344632768338</v>
      </c>
      <c r="F14" s="7">
        <v>83.8</v>
      </c>
      <c r="G14" s="6">
        <v>88.5</v>
      </c>
      <c r="H14" s="1">
        <f t="shared" si="3"/>
        <v>0.94689265536723166</v>
      </c>
      <c r="I14" s="1">
        <f t="shared" si="2"/>
        <v>-4.6493426201798305E-2</v>
      </c>
    </row>
    <row r="15" spans="1:9" ht="15.75" thickBot="1" x14ac:dyDescent="0.3">
      <c r="A15">
        <v>2008</v>
      </c>
      <c r="B15">
        <v>3.4340818538458828</v>
      </c>
      <c r="C15">
        <v>5.3799543685622178</v>
      </c>
      <c r="D15">
        <f t="shared" si="0"/>
        <v>-6.0935799782372175</v>
      </c>
      <c r="F15" s="7">
        <v>86.3</v>
      </c>
      <c r="G15" s="6">
        <v>91.9</v>
      </c>
      <c r="H15" s="1">
        <f t="shared" si="3"/>
        <v>0.93906420021762782</v>
      </c>
      <c r="I15" s="1">
        <f t="shared" si="2"/>
        <v>-5.4376562062575129E-2</v>
      </c>
    </row>
    <row r="16" spans="1:9" ht="15.75" thickBot="1" x14ac:dyDescent="0.3">
      <c r="A16">
        <v>2009</v>
      </c>
      <c r="B16">
        <v>3.7788417773016647</v>
      </c>
      <c r="C16">
        <v>6.1903807861047619</v>
      </c>
      <c r="D16">
        <f t="shared" si="0"/>
        <v>-4.1710114702815382</v>
      </c>
      <c r="F16" s="7">
        <v>91.9</v>
      </c>
      <c r="G16" s="6">
        <v>95.9</v>
      </c>
      <c r="H16" s="1">
        <f t="shared" si="3"/>
        <v>0.95828988529718462</v>
      </c>
      <c r="I16" s="1">
        <f t="shared" si="2"/>
        <v>-3.5016588146607019E-2</v>
      </c>
    </row>
    <row r="17" spans="1:9" ht="15.75" thickBot="1" x14ac:dyDescent="0.3">
      <c r="A17">
        <v>2010</v>
      </c>
      <c r="B17">
        <v>2.872260645765091</v>
      </c>
      <c r="C17">
        <v>5.794727811573857</v>
      </c>
      <c r="D17">
        <f t="shared" si="0"/>
        <v>-4.7120418848167533</v>
      </c>
      <c r="F17" s="7">
        <v>91</v>
      </c>
      <c r="G17" s="6">
        <v>95.5</v>
      </c>
      <c r="H17" s="1">
        <f t="shared" si="3"/>
        <v>0.95287958115183247</v>
      </c>
      <c r="I17" s="1">
        <f t="shared" si="2"/>
        <v>-4.0464682542101338E-2</v>
      </c>
    </row>
    <row r="18" spans="1:9" ht="15.75" thickBot="1" x14ac:dyDescent="0.3">
      <c r="A18">
        <v>2011</v>
      </c>
      <c r="B18">
        <v>2.9627078290440902</v>
      </c>
      <c r="C18">
        <v>4.6778241435126748</v>
      </c>
      <c r="D18">
        <f t="shared" si="0"/>
        <v>-4.9009384775808185</v>
      </c>
      <c r="F18" s="7">
        <v>91.2</v>
      </c>
      <c r="G18" s="6">
        <v>95.9</v>
      </c>
      <c r="H18" s="1">
        <f t="shared" si="3"/>
        <v>0.95099061522419182</v>
      </c>
      <c r="I18" s="1">
        <f t="shared" si="2"/>
        <v>-4.2366842643858149E-2</v>
      </c>
    </row>
    <row r="19" spans="1:9" ht="15.75" thickBot="1" x14ac:dyDescent="0.3">
      <c r="A19">
        <v>2012</v>
      </c>
      <c r="B19">
        <v>2.3487212737359351</v>
      </c>
      <c r="C19">
        <v>4.9466180504205353</v>
      </c>
      <c r="D19">
        <f t="shared" si="0"/>
        <v>-3.6847492323439202</v>
      </c>
      <c r="F19" s="7">
        <v>94.1</v>
      </c>
      <c r="G19" s="6">
        <v>97.7</v>
      </c>
      <c r="H19" s="1">
        <f t="shared" si="3"/>
        <v>0.9631525076765608</v>
      </c>
      <c r="I19" s="1">
        <f t="shared" si="2"/>
        <v>-3.0120001000902175E-2</v>
      </c>
    </row>
    <row r="20" spans="1:9" ht="15.75" thickBot="1" x14ac:dyDescent="0.3">
      <c r="A20">
        <v>2013</v>
      </c>
      <c r="B20">
        <v>1.45335116581002</v>
      </c>
      <c r="C20">
        <v>4.7272662599818593</v>
      </c>
      <c r="D20">
        <f t="shared" si="0"/>
        <v>-2.8311425682507663</v>
      </c>
      <c r="F20" s="7">
        <v>96.1</v>
      </c>
      <c r="G20" s="6">
        <v>98.9</v>
      </c>
      <c r="H20" s="1">
        <f t="shared" si="3"/>
        <v>0.97168857431749234</v>
      </c>
      <c r="I20" s="1">
        <f t="shared" si="2"/>
        <v>-2.1524311077263381E-2</v>
      </c>
    </row>
    <row r="21" spans="1:9" ht="15.75" thickBot="1" x14ac:dyDescent="0.3">
      <c r="A21">
        <v>2014</v>
      </c>
      <c r="B21">
        <v>1.517492339697277</v>
      </c>
      <c r="C21">
        <v>4.895078618446898</v>
      </c>
      <c r="D21">
        <f t="shared" si="0"/>
        <v>-1.9095477386934734</v>
      </c>
      <c r="F21" s="7">
        <v>97.6</v>
      </c>
      <c r="G21" s="6">
        <v>99.5</v>
      </c>
      <c r="H21" s="1">
        <f t="shared" si="3"/>
        <v>0.98090452261306527</v>
      </c>
      <c r="I21" s="1">
        <f t="shared" si="2"/>
        <v>-1.2243990616645717E-2</v>
      </c>
    </row>
    <row r="22" spans="1:9" ht="15.75" thickBot="1" x14ac:dyDescent="0.3">
      <c r="A22">
        <v>2015</v>
      </c>
      <c r="B22">
        <v>2.7077125280934107</v>
      </c>
      <c r="C22">
        <v>5.2573042866996476</v>
      </c>
      <c r="D22">
        <f t="shared" si="0"/>
        <v>0</v>
      </c>
      <c r="F22" s="7">
        <v>100</v>
      </c>
      <c r="G22" s="6">
        <v>100</v>
      </c>
      <c r="H22" s="1">
        <f t="shared" si="3"/>
        <v>1</v>
      </c>
      <c r="I22" s="1">
        <f t="shared" si="2"/>
        <v>6.9848661233991027E-3</v>
      </c>
    </row>
    <row r="23" spans="1:9" ht="15.75" thickBot="1" x14ac:dyDescent="0.3">
      <c r="A23">
        <v>2016</v>
      </c>
      <c r="B23">
        <v>2.6499185093009161</v>
      </c>
      <c r="C23">
        <v>5.2231900705146614</v>
      </c>
      <c r="D23">
        <f t="shared" si="0"/>
        <v>0.59523809523809312</v>
      </c>
      <c r="F23" s="7">
        <v>101.4</v>
      </c>
      <c r="G23" s="6">
        <v>100.8</v>
      </c>
      <c r="H23" s="1">
        <f t="shared" si="3"/>
        <v>1.0059523809523809</v>
      </c>
      <c r="I23" s="1">
        <f t="shared" si="2"/>
        <v>1.2978823659848038E-2</v>
      </c>
    </row>
    <row r="24" spans="1:9" ht="15.75" thickBot="1" x14ac:dyDescent="0.3">
      <c r="A24">
        <v>2017</v>
      </c>
      <c r="B24">
        <v>2.5760980157103726</v>
      </c>
      <c r="C24">
        <v>5.4453172428882679</v>
      </c>
      <c r="D24">
        <f t="shared" si="0"/>
        <v>0.98619329388560661</v>
      </c>
      <c r="F24" s="7">
        <v>102.4</v>
      </c>
      <c r="G24" s="6">
        <v>101.4</v>
      </c>
      <c r="H24" s="1">
        <f t="shared" si="3"/>
        <v>1.0098619329388561</v>
      </c>
      <c r="I24" s="1">
        <f t="shared" si="2"/>
        <v>1.6915683343551091E-2</v>
      </c>
    </row>
    <row r="25" spans="1:9" ht="15.75" thickBot="1" x14ac:dyDescent="0.3">
      <c r="A25">
        <v>2018</v>
      </c>
      <c r="B25">
        <v>2.3585850847842793</v>
      </c>
      <c r="C25">
        <v>5.654278683279661</v>
      </c>
      <c r="D25">
        <f t="shared" si="0"/>
        <v>2.3210831721469871</v>
      </c>
      <c r="F25" s="7">
        <v>105.8</v>
      </c>
      <c r="G25" s="6">
        <v>103.4</v>
      </c>
      <c r="H25" s="1">
        <f t="shared" si="3"/>
        <v>1.0232108317214699</v>
      </c>
      <c r="I25" s="1">
        <f t="shared" si="2"/>
        <v>3.03578223970562E-2</v>
      </c>
    </row>
    <row r="26" spans="1:9" ht="15.75" thickBot="1" x14ac:dyDescent="0.3">
      <c r="A26">
        <v>2019</v>
      </c>
      <c r="B26">
        <v>2.2004368582997835</v>
      </c>
      <c r="C26">
        <v>5.6008220749240953</v>
      </c>
      <c r="D26">
        <f t="shared" si="0"/>
        <v>3.6053130929791344</v>
      </c>
      <c r="F26" s="7">
        <v>109.2</v>
      </c>
      <c r="G26" s="6">
        <v>105.4</v>
      </c>
      <c r="H26" s="1">
        <f>F26/G26</f>
        <v>1.0360531309297913</v>
      </c>
      <c r="I26" s="1">
        <f t="shared" si="2"/>
        <v>4.3289823346064571E-2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Finanzierungssalden</vt:lpstr>
      <vt:lpstr>Ländergruppen</vt:lpstr>
      <vt:lpstr>Grafik</vt:lpstr>
    </vt:vector>
  </TitlesOfParts>
  <Company>Friedrich-Alexander-Universität Erlangen-Nürnberg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Merkl, Christian</dc:creator>
  <cp:lastModifiedBy>Merkl, Christian</cp:lastModifiedBy>
  <dcterms:created xsi:type="dcterms:W3CDTF">2023-02-16T07:50:08Z</dcterms:created>
  <dcterms:modified xsi:type="dcterms:W3CDTF">2023-07-24T06:29:25Z</dcterms:modified>
</cp:coreProperties>
</file>