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j64utag\FAUbox\05_TradeHartz (Brigitte Hochmuth)\"/>
    </mc:Choice>
  </mc:AlternateContent>
  <xr:revisionPtr revIDLastSave="0" documentId="13_ncr:1_{2D0D9716-6F08-429A-B8BF-527C435B5A81}" xr6:coauthVersionLast="47" xr6:coauthVersionMax="47" xr10:uidLastSave="{00000000-0000-0000-0000-000000000000}"/>
  <bookViews>
    <workbookView xWindow="-120" yWindow="-120" windowWidth="29040" windowHeight="17640" firstSheet="2" activeTab="4" xr2:uid="{00000000-000D-0000-FFFF-FFFF00000000}"/>
  </bookViews>
  <sheets>
    <sheet name="Abbildung 1 (data)" sheetId="1" r:id="rId1"/>
    <sheet name="Abbildung 1" sheetId="2" r:id="rId2"/>
    <sheet name="Abbildung 2 (data)" sheetId="8" r:id="rId3"/>
    <sheet name="Abbildung 2" sheetId="9" r:id="rId4"/>
    <sheet name="Abbildung 3 (data)" sheetId="3" r:id="rId5"/>
    <sheet name="Abbildung 3" sheetId="4" r:id="rId6"/>
  </sheets>
  <definedNames>
    <definedName name="xlsHost_ZRDaten1">'Abbildung 1 (data)'!$A$1:$H$51</definedName>
    <definedName name="xlsHost_ZRDaten2">'Abbildung 3 (data)'!$A$1:$G$31</definedName>
    <definedName name="xlsHost_ZRDaten3">'Abbildung 2 (data)'!$A$1:$L$31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3" l="1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4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" i="3"/>
  <c r="J31" i="3" l="1"/>
  <c r="K31" i="3"/>
  <c r="L31" i="3"/>
  <c r="M31" i="3"/>
  <c r="N31" i="3"/>
  <c r="O31" i="8"/>
  <c r="P31" i="8"/>
  <c r="Q31" i="8" s="1"/>
  <c r="U31" i="8" s="1"/>
  <c r="R31" i="8"/>
  <c r="S31" i="8"/>
  <c r="T31" i="8"/>
  <c r="J51" i="1"/>
  <c r="K51" i="1"/>
  <c r="L51" i="1"/>
  <c r="M51" i="1"/>
  <c r="N51" i="1"/>
  <c r="O51" i="1"/>
  <c r="J42" i="1" l="1"/>
  <c r="K42" i="1"/>
  <c r="L42" i="1"/>
  <c r="M42" i="1"/>
  <c r="N42" i="1"/>
  <c r="O42" i="1"/>
  <c r="J43" i="1"/>
  <c r="K43" i="1"/>
  <c r="L43" i="1"/>
  <c r="M43" i="1"/>
  <c r="N43" i="1"/>
  <c r="O43" i="1"/>
  <c r="J44" i="1"/>
  <c r="K44" i="1"/>
  <c r="L44" i="1"/>
  <c r="M44" i="1"/>
  <c r="N44" i="1"/>
  <c r="O44" i="1"/>
  <c r="J45" i="1"/>
  <c r="K45" i="1"/>
  <c r="L45" i="1"/>
  <c r="M45" i="1"/>
  <c r="N45" i="1"/>
  <c r="O45" i="1"/>
  <c r="J46" i="1"/>
  <c r="K46" i="1"/>
  <c r="L46" i="1"/>
  <c r="M46" i="1"/>
  <c r="N46" i="1"/>
  <c r="O46" i="1"/>
  <c r="J47" i="1"/>
  <c r="K47" i="1"/>
  <c r="L47" i="1"/>
  <c r="M47" i="1"/>
  <c r="N47" i="1"/>
  <c r="O47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31" i="1"/>
  <c r="K31" i="1"/>
  <c r="L31" i="1"/>
  <c r="M31" i="1"/>
  <c r="N31" i="1"/>
  <c r="O31" i="1"/>
  <c r="J32" i="1"/>
  <c r="K32" i="1"/>
  <c r="L32" i="1"/>
  <c r="M32" i="1"/>
  <c r="N32" i="1"/>
  <c r="O32" i="1"/>
  <c r="J33" i="1"/>
  <c r="K33" i="1"/>
  <c r="L33" i="1"/>
  <c r="M33" i="1"/>
  <c r="N33" i="1"/>
  <c r="O33" i="1"/>
  <c r="J34" i="1"/>
  <c r="K34" i="1"/>
  <c r="L34" i="1"/>
  <c r="M34" i="1"/>
  <c r="N34" i="1"/>
  <c r="O34" i="1"/>
  <c r="J35" i="1"/>
  <c r="K35" i="1"/>
  <c r="L35" i="1"/>
  <c r="M35" i="1"/>
  <c r="N35" i="1"/>
  <c r="O35" i="1"/>
  <c r="J36" i="1"/>
  <c r="K36" i="1"/>
  <c r="L36" i="1"/>
  <c r="M36" i="1"/>
  <c r="N36" i="1"/>
  <c r="O36" i="1"/>
  <c r="J37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J40" i="1"/>
  <c r="K40" i="1"/>
  <c r="L40" i="1"/>
  <c r="M40" i="1"/>
  <c r="N40" i="1"/>
  <c r="O40" i="1"/>
  <c r="J41" i="1"/>
  <c r="K41" i="1"/>
  <c r="L41" i="1"/>
  <c r="M41" i="1"/>
  <c r="N41" i="1"/>
  <c r="O41" i="1"/>
  <c r="J30" i="3" l="1"/>
  <c r="K30" i="3"/>
  <c r="L30" i="3"/>
  <c r="M30" i="3"/>
  <c r="N30" i="3"/>
  <c r="O30" i="8"/>
  <c r="P30" i="8"/>
  <c r="Q30" i="8" s="1"/>
  <c r="R30" i="8"/>
  <c r="S30" i="8"/>
  <c r="T30" i="8"/>
  <c r="J30" i="1"/>
  <c r="K30" i="1"/>
  <c r="L30" i="1"/>
  <c r="M30" i="1"/>
  <c r="N30" i="1"/>
  <c r="O30" i="1"/>
  <c r="U30" i="8" l="1"/>
  <c r="O4" i="8"/>
  <c r="P4" i="8"/>
  <c r="Q4" i="8" s="1"/>
  <c r="R4" i="8"/>
  <c r="S4" i="8"/>
  <c r="T4" i="8"/>
  <c r="O5" i="8"/>
  <c r="P5" i="8"/>
  <c r="Q5" i="8" s="1"/>
  <c r="R5" i="8"/>
  <c r="S5" i="8"/>
  <c r="T5" i="8"/>
  <c r="O6" i="8"/>
  <c r="P6" i="8"/>
  <c r="Q6" i="8" s="1"/>
  <c r="R6" i="8"/>
  <c r="S6" i="8"/>
  <c r="T6" i="8"/>
  <c r="O7" i="8"/>
  <c r="P7" i="8"/>
  <c r="Q7" i="8" s="1"/>
  <c r="R7" i="8"/>
  <c r="S7" i="8"/>
  <c r="T7" i="8"/>
  <c r="O8" i="8"/>
  <c r="P8" i="8"/>
  <c r="Q8" i="8" s="1"/>
  <c r="R8" i="8"/>
  <c r="S8" i="8"/>
  <c r="T8" i="8"/>
  <c r="O9" i="8"/>
  <c r="P9" i="8"/>
  <c r="Q9" i="8" s="1"/>
  <c r="R9" i="8"/>
  <c r="S9" i="8"/>
  <c r="T9" i="8"/>
  <c r="O10" i="8"/>
  <c r="P10" i="8"/>
  <c r="R10" i="8"/>
  <c r="S10" i="8"/>
  <c r="T10" i="8"/>
  <c r="O11" i="8"/>
  <c r="P11" i="8"/>
  <c r="Q11" i="8" s="1"/>
  <c r="R11" i="8"/>
  <c r="S11" i="8"/>
  <c r="T11" i="8"/>
  <c r="O12" i="8"/>
  <c r="P12" i="8"/>
  <c r="Q12" i="8" s="1"/>
  <c r="R12" i="8"/>
  <c r="S12" i="8"/>
  <c r="T12" i="8"/>
  <c r="O13" i="8"/>
  <c r="P13" i="8"/>
  <c r="Q13" i="8" s="1"/>
  <c r="R13" i="8"/>
  <c r="S13" i="8"/>
  <c r="T13" i="8"/>
  <c r="O14" i="8"/>
  <c r="P14" i="8"/>
  <c r="Q14" i="8" s="1"/>
  <c r="R14" i="8"/>
  <c r="S14" i="8"/>
  <c r="T14" i="8"/>
  <c r="O15" i="8"/>
  <c r="P15" i="8"/>
  <c r="Q15" i="8" s="1"/>
  <c r="R15" i="8"/>
  <c r="S15" i="8"/>
  <c r="T15" i="8"/>
  <c r="O16" i="8"/>
  <c r="P16" i="8"/>
  <c r="Q16" i="8" s="1"/>
  <c r="R16" i="8"/>
  <c r="S16" i="8"/>
  <c r="T16" i="8"/>
  <c r="O17" i="8"/>
  <c r="P17" i="8"/>
  <c r="Q17" i="8" s="1"/>
  <c r="R17" i="8"/>
  <c r="S17" i="8"/>
  <c r="T17" i="8"/>
  <c r="O18" i="8"/>
  <c r="P18" i="8"/>
  <c r="Q18" i="8" s="1"/>
  <c r="R18" i="8"/>
  <c r="S18" i="8"/>
  <c r="T18" i="8"/>
  <c r="O19" i="8"/>
  <c r="P19" i="8"/>
  <c r="Q19" i="8" s="1"/>
  <c r="R19" i="8"/>
  <c r="S19" i="8"/>
  <c r="T19" i="8"/>
  <c r="O20" i="8"/>
  <c r="P20" i="8"/>
  <c r="Q20" i="8" s="1"/>
  <c r="R20" i="8"/>
  <c r="S20" i="8"/>
  <c r="T20" i="8"/>
  <c r="O21" i="8"/>
  <c r="P21" i="8"/>
  <c r="Q21" i="8" s="1"/>
  <c r="R21" i="8"/>
  <c r="S21" i="8"/>
  <c r="T21" i="8"/>
  <c r="O22" i="8"/>
  <c r="P22" i="8"/>
  <c r="Q22" i="8" s="1"/>
  <c r="R22" i="8"/>
  <c r="S22" i="8"/>
  <c r="T22" i="8"/>
  <c r="O23" i="8"/>
  <c r="P23" i="8"/>
  <c r="Q23" i="8" s="1"/>
  <c r="R23" i="8"/>
  <c r="S23" i="8"/>
  <c r="T23" i="8"/>
  <c r="O24" i="8"/>
  <c r="P24" i="8"/>
  <c r="Q24" i="8" s="1"/>
  <c r="R24" i="8"/>
  <c r="S24" i="8"/>
  <c r="T24" i="8"/>
  <c r="O25" i="8"/>
  <c r="P25" i="8"/>
  <c r="Q25" i="8" s="1"/>
  <c r="R25" i="8"/>
  <c r="S25" i="8"/>
  <c r="T25" i="8"/>
  <c r="O26" i="8"/>
  <c r="P26" i="8"/>
  <c r="Q26" i="8" s="1"/>
  <c r="R26" i="8"/>
  <c r="S26" i="8"/>
  <c r="T26" i="8"/>
  <c r="O27" i="8"/>
  <c r="P27" i="8"/>
  <c r="Q27" i="8" s="1"/>
  <c r="R27" i="8"/>
  <c r="S27" i="8"/>
  <c r="T27" i="8"/>
  <c r="O28" i="8"/>
  <c r="P28" i="8"/>
  <c r="Q28" i="8"/>
  <c r="R28" i="8"/>
  <c r="S28" i="8"/>
  <c r="T28" i="8"/>
  <c r="O29" i="8"/>
  <c r="P29" i="8"/>
  <c r="Q29" i="8" s="1"/>
  <c r="R29" i="8"/>
  <c r="S29" i="8"/>
  <c r="T29" i="8"/>
  <c r="T3" i="8"/>
  <c r="S3" i="8"/>
  <c r="R3" i="8"/>
  <c r="P3" i="8"/>
  <c r="Q3" i="8" s="1"/>
  <c r="O3" i="8"/>
  <c r="U20" i="8" l="1"/>
  <c r="U13" i="8"/>
  <c r="U27" i="8"/>
  <c r="U16" i="8"/>
  <c r="U21" i="8"/>
  <c r="U18" i="8"/>
  <c r="U3" i="8"/>
  <c r="U24" i="8"/>
  <c r="U28" i="8"/>
  <c r="U5" i="8"/>
  <c r="U26" i="8"/>
  <c r="U25" i="8"/>
  <c r="U11" i="8"/>
  <c r="U4" i="8"/>
  <c r="U29" i="8"/>
  <c r="U9" i="8"/>
  <c r="U23" i="8"/>
  <c r="U17" i="8"/>
  <c r="U14" i="8"/>
  <c r="U6" i="8"/>
  <c r="U15" i="8"/>
  <c r="U8" i="8"/>
  <c r="U19" i="8"/>
  <c r="U7" i="8"/>
  <c r="Q10" i="8"/>
  <c r="U10" i="8" s="1"/>
  <c r="U12" i="8"/>
  <c r="U22" i="8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" i="1"/>
  <c r="K3" i="1"/>
  <c r="M3" i="1"/>
  <c r="N3" i="1"/>
  <c r="O3" i="1"/>
  <c r="K4" i="1"/>
  <c r="M4" i="1"/>
  <c r="N4" i="1"/>
  <c r="O4" i="1"/>
  <c r="K5" i="1"/>
  <c r="M5" i="1"/>
  <c r="N5" i="1"/>
  <c r="O5" i="1"/>
  <c r="K6" i="1"/>
  <c r="M6" i="1"/>
  <c r="N6" i="1"/>
  <c r="O6" i="1"/>
  <c r="K7" i="1"/>
  <c r="M7" i="1"/>
  <c r="N7" i="1"/>
  <c r="O7" i="1"/>
  <c r="K8" i="1"/>
  <c r="M8" i="1"/>
  <c r="N8" i="1"/>
  <c r="O8" i="1"/>
  <c r="K9" i="1"/>
  <c r="M9" i="1"/>
  <c r="N9" i="1"/>
  <c r="O9" i="1"/>
  <c r="K10" i="1"/>
  <c r="M10" i="1"/>
  <c r="N10" i="1"/>
  <c r="O10" i="1"/>
  <c r="K11" i="1"/>
  <c r="M11" i="1"/>
  <c r="N11" i="1"/>
  <c r="O11" i="1"/>
  <c r="K12" i="1"/>
  <c r="M12" i="1"/>
  <c r="N12" i="1"/>
  <c r="O12" i="1"/>
  <c r="K13" i="1"/>
  <c r="M13" i="1"/>
  <c r="N13" i="1"/>
  <c r="O13" i="1"/>
  <c r="K14" i="1"/>
  <c r="M14" i="1"/>
  <c r="N14" i="1"/>
  <c r="O14" i="1"/>
  <c r="K15" i="1"/>
  <c r="M15" i="1"/>
  <c r="N15" i="1"/>
  <c r="O15" i="1"/>
  <c r="K16" i="1"/>
  <c r="M16" i="1"/>
  <c r="N16" i="1"/>
  <c r="O16" i="1"/>
  <c r="K17" i="1"/>
  <c r="M17" i="1"/>
  <c r="N17" i="1"/>
  <c r="O17" i="1"/>
  <c r="K18" i="1"/>
  <c r="M18" i="1"/>
  <c r="N18" i="1"/>
  <c r="O18" i="1"/>
  <c r="K19" i="1"/>
  <c r="M19" i="1"/>
  <c r="N19" i="1"/>
  <c r="O19" i="1"/>
  <c r="K20" i="1"/>
  <c r="M20" i="1"/>
  <c r="N20" i="1"/>
  <c r="O20" i="1"/>
  <c r="K21" i="1"/>
  <c r="M21" i="1"/>
  <c r="N21" i="1"/>
  <c r="O21" i="1"/>
  <c r="K22" i="1"/>
  <c r="M22" i="1"/>
  <c r="N22" i="1"/>
  <c r="O22" i="1"/>
  <c r="K23" i="1"/>
  <c r="M23" i="1"/>
  <c r="N23" i="1"/>
  <c r="O23" i="1"/>
  <c r="K24" i="1"/>
  <c r="M24" i="1"/>
  <c r="N24" i="1"/>
  <c r="O24" i="1"/>
  <c r="K25" i="1"/>
  <c r="M25" i="1"/>
  <c r="N25" i="1"/>
  <c r="O25" i="1"/>
  <c r="K26" i="1"/>
  <c r="M26" i="1"/>
  <c r="N26" i="1"/>
  <c r="O26" i="1"/>
  <c r="K27" i="1"/>
  <c r="M27" i="1"/>
  <c r="N27" i="1"/>
  <c r="O27" i="1"/>
  <c r="K28" i="1"/>
  <c r="M28" i="1"/>
  <c r="N28" i="1"/>
  <c r="O28" i="1"/>
  <c r="K29" i="1"/>
  <c r="M29" i="1"/>
  <c r="N29" i="1"/>
  <c r="O2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" i="1"/>
  <c r="J4" i="3"/>
  <c r="K4" i="3"/>
  <c r="L4" i="3"/>
  <c r="M4" i="3"/>
  <c r="N4" i="3"/>
  <c r="J5" i="3"/>
  <c r="K5" i="3"/>
  <c r="L5" i="3"/>
  <c r="M5" i="3"/>
  <c r="N5" i="3"/>
  <c r="J6" i="3"/>
  <c r="K6" i="3"/>
  <c r="L6" i="3"/>
  <c r="M6" i="3"/>
  <c r="N6" i="3"/>
  <c r="J7" i="3"/>
  <c r="K7" i="3"/>
  <c r="L7" i="3"/>
  <c r="M7" i="3"/>
  <c r="N7" i="3"/>
  <c r="J8" i="3"/>
  <c r="K8" i="3"/>
  <c r="L8" i="3"/>
  <c r="M8" i="3"/>
  <c r="N8" i="3"/>
  <c r="J9" i="3"/>
  <c r="K9" i="3"/>
  <c r="L9" i="3"/>
  <c r="M9" i="3"/>
  <c r="N9" i="3"/>
  <c r="J10" i="3"/>
  <c r="K10" i="3"/>
  <c r="L10" i="3"/>
  <c r="M10" i="3"/>
  <c r="N10" i="3"/>
  <c r="J11" i="3"/>
  <c r="K11" i="3"/>
  <c r="L11" i="3"/>
  <c r="M11" i="3"/>
  <c r="N11" i="3"/>
  <c r="J12" i="3"/>
  <c r="K12" i="3"/>
  <c r="L12" i="3"/>
  <c r="M12" i="3"/>
  <c r="N12" i="3"/>
  <c r="J13" i="3"/>
  <c r="K13" i="3"/>
  <c r="L13" i="3"/>
  <c r="M13" i="3"/>
  <c r="N13" i="3"/>
  <c r="J14" i="3"/>
  <c r="K14" i="3"/>
  <c r="L14" i="3"/>
  <c r="M14" i="3"/>
  <c r="N14" i="3"/>
  <c r="J15" i="3"/>
  <c r="K15" i="3"/>
  <c r="L15" i="3"/>
  <c r="M15" i="3"/>
  <c r="N15" i="3"/>
  <c r="J16" i="3"/>
  <c r="K16" i="3"/>
  <c r="L16" i="3"/>
  <c r="M16" i="3"/>
  <c r="N16" i="3"/>
  <c r="J17" i="3"/>
  <c r="K17" i="3"/>
  <c r="L17" i="3"/>
  <c r="M17" i="3"/>
  <c r="N17" i="3"/>
  <c r="J18" i="3"/>
  <c r="K18" i="3"/>
  <c r="L18" i="3"/>
  <c r="M18" i="3"/>
  <c r="N18" i="3"/>
  <c r="J19" i="3"/>
  <c r="K19" i="3"/>
  <c r="L19" i="3"/>
  <c r="M19" i="3"/>
  <c r="N19" i="3"/>
  <c r="J20" i="3"/>
  <c r="K20" i="3"/>
  <c r="L20" i="3"/>
  <c r="M20" i="3"/>
  <c r="N20" i="3"/>
  <c r="J21" i="3"/>
  <c r="K21" i="3"/>
  <c r="L21" i="3"/>
  <c r="M21" i="3"/>
  <c r="N21" i="3"/>
  <c r="J22" i="3"/>
  <c r="K22" i="3"/>
  <c r="L22" i="3"/>
  <c r="M22" i="3"/>
  <c r="N22" i="3"/>
  <c r="J23" i="3"/>
  <c r="K23" i="3"/>
  <c r="L23" i="3"/>
  <c r="M23" i="3"/>
  <c r="N23" i="3"/>
  <c r="J24" i="3"/>
  <c r="K24" i="3"/>
  <c r="L24" i="3"/>
  <c r="M24" i="3"/>
  <c r="N24" i="3"/>
  <c r="J25" i="3"/>
  <c r="K25" i="3"/>
  <c r="L25" i="3"/>
  <c r="M25" i="3"/>
  <c r="N25" i="3"/>
  <c r="J26" i="3"/>
  <c r="K26" i="3"/>
  <c r="L26" i="3"/>
  <c r="M26" i="3"/>
  <c r="N26" i="3"/>
  <c r="J27" i="3"/>
  <c r="K27" i="3"/>
  <c r="L27" i="3"/>
  <c r="M27" i="3"/>
  <c r="N27" i="3"/>
  <c r="J28" i="3"/>
  <c r="K28" i="3"/>
  <c r="L28" i="3"/>
  <c r="M28" i="3"/>
  <c r="N28" i="3"/>
  <c r="J29" i="3"/>
  <c r="K29" i="3"/>
  <c r="L29" i="3"/>
  <c r="M29" i="3"/>
  <c r="N29" i="3"/>
  <c r="K3" i="3"/>
  <c r="L3" i="3"/>
  <c r="M3" i="3"/>
  <c r="N3" i="3"/>
  <c r="J3" i="3"/>
</calcChain>
</file>

<file path=xl/sharedStrings.xml><?xml version="1.0" encoding="utf-8"?>
<sst xmlns="http://schemas.openxmlformats.org/spreadsheetml/2006/main" count="73" uniqueCount="71">
  <si>
    <t>Deutschland / Gesamtwirtschaftliche Übersicht / Bruttoinlandsprodukt / In jeweiligen Preisen</t>
  </si>
  <si>
    <t>Leistungsbilanz / Saldo / Alle Länder</t>
  </si>
  <si>
    <t>Leistungsbilanz / Warenhandel / Saldo / Alle Länder</t>
  </si>
  <si>
    <t>Leistungsbilanz / Dienstleistungen / Saldo / Alle Länder</t>
  </si>
  <si>
    <t>Leistungsbilanz / Dienstleistungen / Reiseverkehr / Saldo / Alle Länder</t>
  </si>
  <si>
    <t>Leistungsbilanz / Primäreinkommen / Saldo / Alle Länder</t>
  </si>
  <si>
    <t>Leistungsbilanz / Sekundäreinkommen / Saldo / Alle Länder</t>
  </si>
  <si>
    <t>BBNZ1:Q:DE:N:G:0330:A</t>
  </si>
  <si>
    <t>BBNZ1:Q:DE:N:G:0519:A</t>
  </si>
  <si>
    <t>BBNZ1:A:DE:N:G:0561:A</t>
  </si>
  <si>
    <t>BBNZ1:A:DE:N:G:0596:A</t>
  </si>
  <si>
    <t>BBNZ1:Q:DE:N:G:0232:A</t>
  </si>
  <si>
    <t>BBNZ1:A:DE:N:G:0000:A</t>
  </si>
  <si>
    <t>Deutschland / Konto der privaten Haushalte / Finanzierungssaldo / In jeweiligen Preisen</t>
  </si>
  <si>
    <t>Deutschland / Konto des Staates / Finanzierungssaldo / In jeweiligen Preisen</t>
  </si>
  <si>
    <t>Deutschland / Konto der nichtfinanziellen Kapitalgesellschaften / Finanzierungssaldo / In jeweiligen Preisen</t>
  </si>
  <si>
    <t>Deutschland / Konto der finanziellen Kapitalgesellschaften / Finanzierungssaldo / In jeweiligen Preisen</t>
  </si>
  <si>
    <t>Deutschland / Verteilung des Bruttoinlandsprodukts / Finanzierungssaldo der Gesamtwirtschaft / In jeweiligen Preisen</t>
  </si>
  <si>
    <t>Staat</t>
  </si>
  <si>
    <t>Finanzierungssaldo</t>
  </si>
  <si>
    <t>Leistungsbilanz / Saldo / Amerika</t>
  </si>
  <si>
    <t>Leistungsbilanz / Saldo / Spanien</t>
  </si>
  <si>
    <t>Leistungsbilanz / Saldo / Griechenland</t>
  </si>
  <si>
    <t>Leistungsbilanz / Saldo / Irland</t>
  </si>
  <si>
    <t>Leistungsbilanz / Saldo / Italien</t>
  </si>
  <si>
    <t>Leistungsbilanz / Saldo / Portugal</t>
  </si>
  <si>
    <t>Leistungsbilanz / Saldo / Asien</t>
  </si>
  <si>
    <t>Leistungsbilanz / Saldo / Euroraum (19)</t>
  </si>
  <si>
    <t>BBFBA.M.N.DE.W1.S1.S1.T.B.CA._Z._Z._Z._T._X.N!EE!</t>
  </si>
  <si>
    <t>BBNZ1:Q:DE:N:G:0000:A!EE!</t>
  </si>
  <si>
    <t>BBFBA.M.N.DE.W1.S1.S1.T.B.G._Z._Z._Z._T._X.N!EE!</t>
  </si>
  <si>
    <t>BBFBA.M.N.DE.W1.S1.S1.T.B.S._Z._Z._Z._T._X.N!EE!</t>
  </si>
  <si>
    <t>BBFBA.M.N.DE.W1.S1.S1.T.B.SD._Z._Z._Z._T._X.N!EE!</t>
  </si>
  <si>
    <t>BBFBA.M.N.DE.W1.S1.S1.T.B.IN1._Z._Z._Z._T._X.N!EE!</t>
  </si>
  <si>
    <t>BBFBA.M.N.DE.W1.S1.S1.T.B.IN2._Z._Z._Z._T._X.N!EE!</t>
  </si>
  <si>
    <t>BBNZ1.A.DE.N.G.0000.L!EE!</t>
  </si>
  <si>
    <t>Deutschland / Gesamtwirtschaftliche Übersicht / Bruttoinlandsprodukt / In jeweiligen Preisen 1) 2) 3)</t>
  </si>
  <si>
    <t>BBFBA.Q.N.DE.A1.S1.S1.T.B.CA._Z._Z._Z._T._X.N!EE!</t>
  </si>
  <si>
    <t>BBFBA.Q.N.DE.ES.S1.S1.T.B.CA._Z._Z._Z._T._X.N!EE!</t>
  </si>
  <si>
    <t>BBFBA.Q.N.DE.GR.S1.S1.T.B.CA._Z._Z._Z._T._X.N!EE!</t>
  </si>
  <si>
    <t>BBFBA.Q.N.DE.IE.S1.S1.T.B.CA._Z._Z._Z._T._X.N!EE!</t>
  </si>
  <si>
    <t>BBFBA.Q.N.DE.IT.S1.S1.T.B.CA._Z._Z._Z._T._X.N!EE!</t>
  </si>
  <si>
    <t>BBFBA.Q.N.DE.K9.S1.S1.T.B.CA._Z._Z._Z._T._X.N!EE!</t>
  </si>
  <si>
    <t>BBFBA.Q.N.DE.PT.S1.S1.T.B.CA._Z._Z._Z._T._X.N!EE!</t>
  </si>
  <si>
    <t>BBFBA.Q.N.DE.S1.S1.S1.T.B.CA._Z._Z._Z._T._X.N!EE!</t>
  </si>
  <si>
    <t>BBFBA.Q.N.DE.I8.S1.S1.T.B.CA._Z._Z._Z._T._X.N!EE!</t>
  </si>
  <si>
    <t>BBFBA.Q.N.DE.W1.S1.S1.T.B.CA._Z._Z._Z._T._X.N!EE!</t>
  </si>
  <si>
    <t>Leistungsbilanz / Saldo / Andere EU-Länder (einschl. GB)</t>
  </si>
  <si>
    <t>Insgesamt</t>
  </si>
  <si>
    <t>Asien</t>
  </si>
  <si>
    <t>Nord- und Südamerika</t>
  </si>
  <si>
    <t>Rest der Welt</t>
  </si>
  <si>
    <t>Übrige Euroländer</t>
  </si>
  <si>
    <t>Übrige EU-Länder</t>
  </si>
  <si>
    <t>Griechenland, Irland, Italien, Portugal, Spanien</t>
  </si>
  <si>
    <t>Leistungsbilanzsaldo</t>
  </si>
  <si>
    <t>Dienstleistungen ohne Reiseverkehr</t>
  </si>
  <si>
    <t>Reiseverkehr</t>
  </si>
  <si>
    <t>Primäreinkommen</t>
  </si>
  <si>
    <t>Sekundäreinkommen</t>
  </si>
  <si>
    <t>Warenhandel 1)</t>
  </si>
  <si>
    <t>1) Spezialhandel nach der amtlichen Außenhandelsstatistik, einschl. Ergänzungen zum Außenhandel, wobei einfuhrseitig auch die Fracht- und Versicherungskosten abgesetzt sind.</t>
  </si>
  <si>
    <t>Private Haushalte und private Organisationen ohne Erwerbszweck</t>
  </si>
  <si>
    <t>Finanzielle Kapitalgesellschaften</t>
  </si>
  <si>
    <t>Nichtfinanzielle Kapitalgesellschaften</t>
  </si>
  <si>
    <t>1995 1)</t>
  </si>
  <si>
    <t>1) Sondereffekt vor allem durch Übernahme der Treuhandschulden durch den Staat.</t>
  </si>
  <si>
    <t>IMF Database</t>
  </si>
  <si>
    <t>Investment</t>
  </si>
  <si>
    <t>Savings</t>
  </si>
  <si>
    <t>Savings - Investment (IMF)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</si>
</sst>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Alignment="1">
      <alignment wrapText="1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de-DE" sz="1800" b="0" i="0" baseline="0">
                <a:effectLst/>
              </a:rPr>
              <a:t>Der deutsche Leistungsverkehr mit dem Ausland</a:t>
            </a:r>
            <a:endParaRPr lang="de-DE" sz="1800" b="1" i="0" baseline="0">
              <a:effectLst/>
            </a:endParaRPr>
          </a:p>
          <a:p>
            <a:pPr algn="l">
              <a:defRPr/>
            </a:pPr>
            <a:r>
              <a:rPr lang="de-DE" sz="1200" b="0" i="0" baseline="0">
                <a:effectLst/>
              </a:rPr>
              <a:t>in % des BIP</a:t>
            </a:r>
            <a:endParaRPr lang="de-DE" sz="1200">
              <a:effectLst/>
            </a:endParaRPr>
          </a:p>
          <a:p>
            <a:pPr algn="l"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'Abbildung 1 (data)'!$K$2</c:f>
              <c:strCache>
                <c:ptCount val="1"/>
                <c:pt idx="0">
                  <c:v>Warenhandel 1)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'Abbildung 1 (data)'!$I$3:$I$50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cat>
          <c:val>
            <c:numRef>
              <c:f>'Abbildung 1 (data)'!$K$3:$K$51</c:f>
              <c:numCache>
                <c:formatCode>General</c:formatCode>
                <c:ptCount val="49"/>
                <c:pt idx="0">
                  <c:v>3.0255694514791123</c:v>
                </c:pt>
                <c:pt idx="1">
                  <c:v>3.1158141534706782</c:v>
                </c:pt>
                <c:pt idx="2">
                  <c:v>4.2781837414303938</c:v>
                </c:pt>
                <c:pt idx="3">
                  <c:v>5.604467606516863</c:v>
                </c:pt>
                <c:pt idx="4">
                  <c:v>3.9870656143082694</c:v>
                </c:pt>
                <c:pt idx="5">
                  <c:v>3.5265641149146307</c:v>
                </c:pt>
                <c:pt idx="6">
                  <c:v>3.640641654962768</c:v>
                </c:pt>
                <c:pt idx="7">
                  <c:v>3.8067778618434618</c:v>
                </c:pt>
                <c:pt idx="8">
                  <c:v>2.136932133894788</c:v>
                </c:pt>
                <c:pt idx="9">
                  <c:v>1.2525281626972051</c:v>
                </c:pt>
                <c:pt idx="10">
                  <c:v>2.523411458772812</c:v>
                </c:pt>
                <c:pt idx="11">
                  <c:v>3.9452838472814777</c:v>
                </c:pt>
                <c:pt idx="12">
                  <c:v>3.1962899647878698</c:v>
                </c:pt>
                <c:pt idx="13">
                  <c:v>3.6829264432377919</c:v>
                </c:pt>
                <c:pt idx="14">
                  <c:v>4.6341275515181675</c:v>
                </c:pt>
                <c:pt idx="15">
                  <c:v>6.1668471975933583</c:v>
                </c:pt>
                <c:pt idx="16">
                  <c:v>6.1643535339066586</c:v>
                </c:pt>
                <c:pt idx="17">
                  <c:v>6.3930746728093375</c:v>
                </c:pt>
                <c:pt idx="18">
                  <c:v>6.3091513772591741</c:v>
                </c:pt>
                <c:pt idx="19">
                  <c:v>4.7574717623059968</c:v>
                </c:pt>
                <c:pt idx="20">
                  <c:v>1.1375232928553409</c:v>
                </c:pt>
                <c:pt idx="21">
                  <c:v>1.4236252939496845</c:v>
                </c:pt>
                <c:pt idx="22">
                  <c:v>2.0679191651845632</c:v>
                </c:pt>
                <c:pt idx="23">
                  <c:v>2.4135476870159329</c:v>
                </c:pt>
                <c:pt idx="24">
                  <c:v>2.6789026673880114</c:v>
                </c:pt>
                <c:pt idx="25">
                  <c:v>3.0609175634856194</c:v>
                </c:pt>
                <c:pt idx="26">
                  <c:v>3.4238802194426738</c:v>
                </c:pt>
                <c:pt idx="27">
                  <c:v>3.5557247437475801</c:v>
                </c:pt>
                <c:pt idx="28">
                  <c:v>3.2990655408161285</c:v>
                </c:pt>
                <c:pt idx="29">
                  <c:v>3.0318354361359634</c:v>
                </c:pt>
                <c:pt idx="30">
                  <c:v>4.6575906082281566</c:v>
                </c:pt>
                <c:pt idx="31">
                  <c:v>6.4603028497079311</c:v>
                </c:pt>
                <c:pt idx="32">
                  <c:v>5.8755536112354569</c:v>
                </c:pt>
                <c:pt idx="33">
                  <c:v>6.7557945565122086</c:v>
                </c:pt>
                <c:pt idx="34">
                  <c:v>6.8418626409883281</c:v>
                </c:pt>
                <c:pt idx="35">
                  <c:v>6.748838445670585</c:v>
                </c:pt>
                <c:pt idx="36">
                  <c:v>8.0705741833530027</c:v>
                </c:pt>
                <c:pt idx="37">
                  <c:v>7.2319118080180962</c:v>
                </c:pt>
                <c:pt idx="38">
                  <c:v>5.7498643758714172</c:v>
                </c:pt>
                <c:pt idx="39">
                  <c:v>6.2715907814693495</c:v>
                </c:pt>
                <c:pt idx="40">
                  <c:v>6.0503590415658088</c:v>
                </c:pt>
                <c:pt idx="41">
                  <c:v>7.268072385267967</c:v>
                </c:pt>
                <c:pt idx="42">
                  <c:v>7.2492504668575615</c:v>
                </c:pt>
                <c:pt idx="43">
                  <c:v>7.5024518775854592</c:v>
                </c:pt>
                <c:pt idx="44">
                  <c:v>8.197623553251244</c:v>
                </c:pt>
                <c:pt idx="45">
                  <c:v>8.0536241983344503</c:v>
                </c:pt>
                <c:pt idx="46">
                  <c:v>7.7914216068462467</c:v>
                </c:pt>
                <c:pt idx="47">
                  <c:v>6.7658585323992257</c:v>
                </c:pt>
                <c:pt idx="48">
                  <c:v>6.4331844923600014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6-48E8-B252-3CED714326E9}"/>
            </c:ext>
          </c:extLst>
        </c:ser>
        <c:ser>
          <c:idx val="2"/>
          <c:order val="2"/>
          <c:tx>
            <c:strRef>
              <c:f>'Abbildung 1 (data)'!$L$2</c:f>
              <c:strCache>
                <c:ptCount val="1"/>
                <c:pt idx="0">
                  <c:v>Dienstleistungen ohne Reiseverkehr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cat>
            <c:numRef>
              <c:f>'Abbildung 1 (data)'!$I$3:$I$50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cat>
          <c:val>
            <c:numRef>
              <c:f>'Abbildung 1 (data)'!$L$3:$L$51</c:f>
              <c:numCache>
                <c:formatCode>General</c:formatCode>
                <c:ptCount val="49"/>
                <c:pt idx="0">
                  <c:v>-0.34971718277283631</c:v>
                </c:pt>
                <c:pt idx="1">
                  <c:v>-0.31938196464926544</c:v>
                </c:pt>
                <c:pt idx="2">
                  <c:v>-0.30750132266984898</c:v>
                </c:pt>
                <c:pt idx="3">
                  <c:v>-0.33008633323257675</c:v>
                </c:pt>
                <c:pt idx="4">
                  <c:v>-0.27992685344004647</c:v>
                </c:pt>
                <c:pt idx="5">
                  <c:v>-0.31859466672915987</c:v>
                </c:pt>
                <c:pt idx="6">
                  <c:v>-0.25177112984729932</c:v>
                </c:pt>
                <c:pt idx="7">
                  <c:v>-0.21668890916870426</c:v>
                </c:pt>
                <c:pt idx="8">
                  <c:v>-0.35905792534141601</c:v>
                </c:pt>
                <c:pt idx="9">
                  <c:v>-0.31626818726855377</c:v>
                </c:pt>
                <c:pt idx="10">
                  <c:v>-0.35763448915583856</c:v>
                </c:pt>
                <c:pt idx="11">
                  <c:v>-0.17973501671684808</c:v>
                </c:pt>
                <c:pt idx="12">
                  <c:v>-0.11320105957228892</c:v>
                </c:pt>
                <c:pt idx="13">
                  <c:v>-5.225050223566878E-2</c:v>
                </c:pt>
                <c:pt idx="14">
                  <c:v>4.5260194510417462E-2</c:v>
                </c:pt>
                <c:pt idx="15">
                  <c:v>2.468229475282745E-2</c:v>
                </c:pt>
                <c:pt idx="16">
                  <c:v>-6.1478008835541442E-2</c:v>
                </c:pt>
                <c:pt idx="17">
                  <c:v>-9.3971532360298954E-2</c:v>
                </c:pt>
                <c:pt idx="18">
                  <c:v>9.4640056518915626E-3</c:v>
                </c:pt>
                <c:pt idx="19">
                  <c:v>-0.13263866460801432</c:v>
                </c:pt>
                <c:pt idx="20">
                  <c:v>-0.26085713268823296</c:v>
                </c:pt>
                <c:pt idx="21">
                  <c:v>-0.47110918051478795</c:v>
                </c:pt>
                <c:pt idx="22">
                  <c:v>-0.50765403430769507</c:v>
                </c:pt>
                <c:pt idx="23">
                  <c:v>-0.57275315884507128</c:v>
                </c:pt>
                <c:pt idx="24">
                  <c:v>-0.64141287319078888</c:v>
                </c:pt>
                <c:pt idx="25">
                  <c:v>-0.68642862992848896</c:v>
                </c:pt>
                <c:pt idx="26">
                  <c:v>-0.71196727690130801</c:v>
                </c:pt>
                <c:pt idx="27">
                  <c:v>-0.71638857768787023</c:v>
                </c:pt>
                <c:pt idx="28">
                  <c:v>-1.0254804610872648</c:v>
                </c:pt>
                <c:pt idx="29">
                  <c:v>-1.099166891882281</c:v>
                </c:pt>
                <c:pt idx="30">
                  <c:v>-1.2903323298995648</c:v>
                </c:pt>
                <c:pt idx="31">
                  <c:v>-0.59222776736483906</c:v>
                </c:pt>
                <c:pt idx="32">
                  <c:v>-0.41299881984291675</c:v>
                </c:pt>
                <c:pt idx="33">
                  <c:v>4.4538390820854732E-3</c:v>
                </c:pt>
                <c:pt idx="34">
                  <c:v>-5.5200781362665062E-2</c:v>
                </c:pt>
                <c:pt idx="35">
                  <c:v>4.1675331645060036E-2</c:v>
                </c:pt>
                <c:pt idx="36">
                  <c:v>7.4348262687283534E-2</c:v>
                </c:pt>
                <c:pt idx="37">
                  <c:v>0.21972809632081822</c:v>
                </c:pt>
                <c:pt idx="38">
                  <c:v>0.64189922845121894</c:v>
                </c:pt>
                <c:pt idx="39">
                  <c:v>0.2932524957104975</c:v>
                </c:pt>
                <c:pt idx="40">
                  <c:v>0.14203021280387301</c:v>
                </c:pt>
                <c:pt idx="41">
                  <c:v>0.16932218947951239</c:v>
                </c:pt>
                <c:pt idx="42">
                  <c:v>-5.7194728511213329E-2</c:v>
                </c:pt>
                <c:pt idx="43">
                  <c:v>0.42185182907874835</c:v>
                </c:pt>
                <c:pt idx="44">
                  <c:v>0.59665921909394848</c:v>
                </c:pt>
                <c:pt idx="45">
                  <c:v>0.55071369771226186</c:v>
                </c:pt>
                <c:pt idx="46">
                  <c:v>0.59124083587314591</c:v>
                </c:pt>
                <c:pt idx="47">
                  <c:v>0.74324087944814732</c:v>
                </c:pt>
                <c:pt idx="48">
                  <c:v>0.71013527557267253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6-48E8-B252-3CED714326E9}"/>
            </c:ext>
          </c:extLst>
        </c:ser>
        <c:ser>
          <c:idx val="3"/>
          <c:order val="3"/>
          <c:tx>
            <c:strRef>
              <c:f>'Abbildung 1 (data)'!$M$2</c:f>
              <c:strCache>
                <c:ptCount val="1"/>
                <c:pt idx="0">
                  <c:v>Reiseverkehr</c:v>
                </c:pt>
              </c:strCache>
            </c:strRef>
          </c:tx>
          <c:spPr>
            <a:pattFill prst="ltUpDiag">
              <a:fgClr>
                <a:schemeClr val="tx2">
                  <a:lumMod val="75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'Abbildung 1 (data)'!$I$3:$I$50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cat>
          <c:val>
            <c:numRef>
              <c:f>'Abbildung 1 (data)'!$M$3:$M$51</c:f>
              <c:numCache>
                <c:formatCode>General</c:formatCode>
                <c:ptCount val="49"/>
                <c:pt idx="0">
                  <c:v>-0.91292746887117726</c:v>
                </c:pt>
                <c:pt idx="1">
                  <c:v>-1.0006127522171551</c:v>
                </c:pt>
                <c:pt idx="2">
                  <c:v>-1.2031167576293158</c:v>
                </c:pt>
                <c:pt idx="3">
                  <c:v>-1.2290708577715677</c:v>
                </c:pt>
                <c:pt idx="4">
                  <c:v>-1.3567848878913269</c:v>
                </c:pt>
                <c:pt idx="5">
                  <c:v>-1.2646634364881151</c:v>
                </c:pt>
                <c:pt idx="6">
                  <c:v>-1.354087718050712</c:v>
                </c:pt>
                <c:pt idx="7">
                  <c:v>-1.4230566263675728</c:v>
                </c:pt>
                <c:pt idx="8">
                  <c:v>-1.4869694655505377</c:v>
                </c:pt>
                <c:pt idx="9">
                  <c:v>-1.6961909093846699</c:v>
                </c:pt>
                <c:pt idx="10">
                  <c:v>-1.7295576136378494</c:v>
                </c:pt>
                <c:pt idx="11">
                  <c:v>-1.6949467026981782</c:v>
                </c:pt>
                <c:pt idx="12">
                  <c:v>-1.5716288914891958</c:v>
                </c:pt>
                <c:pt idx="13">
                  <c:v>-1.4992468540329087</c:v>
                </c:pt>
                <c:pt idx="14">
                  <c:v>-1.4581801273717252</c:v>
                </c:pt>
                <c:pt idx="15">
                  <c:v>-1.5005549795001591</c:v>
                </c:pt>
                <c:pt idx="16">
                  <c:v>-1.5416771974275438</c:v>
                </c:pt>
                <c:pt idx="17">
                  <c:v>-1.5380331986664173</c:v>
                </c:pt>
                <c:pt idx="18">
                  <c:v>-1.4891041114828509</c:v>
                </c:pt>
                <c:pt idx="19">
                  <c:v>-1.5608889918886031</c:v>
                </c:pt>
                <c:pt idx="20">
                  <c:v>-1.3648862289771726</c:v>
                </c:pt>
                <c:pt idx="21">
                  <c:v>-1.4541068285248464</c:v>
                </c:pt>
                <c:pt idx="22">
                  <c:v>-1.5102852098892563</c:v>
                </c:pt>
                <c:pt idx="23">
                  <c:v>-1.6771008643606349</c:v>
                </c:pt>
                <c:pt idx="24">
                  <c:v>-1.6305550144821361</c:v>
                </c:pt>
                <c:pt idx="25">
                  <c:v>-1.659703852273366</c:v>
                </c:pt>
                <c:pt idx="26">
                  <c:v>-1.6345126889355732</c:v>
                </c:pt>
                <c:pt idx="27">
                  <c:v>-1.610610213987649</c:v>
                </c:pt>
                <c:pt idx="28">
                  <c:v>-1.7206094742362148</c:v>
                </c:pt>
                <c:pt idx="29">
                  <c:v>-1.7632193031117682</c:v>
                </c:pt>
                <c:pt idx="30">
                  <c:v>-1.740859270715384</c:v>
                </c:pt>
                <c:pt idx="31">
                  <c:v>-1.6174576911178642</c:v>
                </c:pt>
                <c:pt idx="32">
                  <c:v>-1.6880161152484432</c:v>
                </c:pt>
                <c:pt idx="33">
                  <c:v>-1.5602904725704083</c:v>
                </c:pt>
                <c:pt idx="34">
                  <c:v>-1.5870784115788505</c:v>
                </c:pt>
                <c:pt idx="35">
                  <c:v>-1.3739957988830562</c:v>
                </c:pt>
                <c:pt idx="36">
                  <c:v>-1.3731965353763675</c:v>
                </c:pt>
                <c:pt idx="37">
                  <c:v>-1.36334900195956</c:v>
                </c:pt>
                <c:pt idx="38">
                  <c:v>-1.3632485188471333</c:v>
                </c:pt>
                <c:pt idx="39">
                  <c:v>-1.2780759241927935</c:v>
                </c:pt>
                <c:pt idx="40">
                  <c:v>-1.2531912784567636</c:v>
                </c:pt>
                <c:pt idx="41">
                  <c:v>-1.2902736667261621</c:v>
                </c:pt>
                <c:pt idx="42">
                  <c:v>-1.341453251996372</c:v>
                </c:pt>
                <c:pt idx="43">
                  <c:v>-1.2861977229173713</c:v>
                </c:pt>
                <c:pt idx="44">
                  <c:v>-1.2077389631262643</c:v>
                </c:pt>
                <c:pt idx="45">
                  <c:v>-1.2203464152388246</c:v>
                </c:pt>
                <c:pt idx="46">
                  <c:v>-1.3423062012517759</c:v>
                </c:pt>
                <c:pt idx="47">
                  <c:v>-1.3318738656308962</c:v>
                </c:pt>
                <c:pt idx="48">
                  <c:v>-1.3419269855409133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76-48E8-B252-3CED714326E9}"/>
            </c:ext>
          </c:extLst>
        </c:ser>
        <c:ser>
          <c:idx val="4"/>
          <c:order val="4"/>
          <c:tx>
            <c:strRef>
              <c:f>'Abbildung 1 (data)'!$N$2</c:f>
              <c:strCache>
                <c:ptCount val="1"/>
                <c:pt idx="0">
                  <c:v>Primäreinkommen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numRef>
              <c:f>'Abbildung 1 (data)'!$I$3:$I$50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cat>
          <c:val>
            <c:numRef>
              <c:f>'Abbildung 1 (data)'!$N$3:$N$51</c:f>
              <c:numCache>
                <c:formatCode>General</c:formatCode>
                <c:ptCount val="49"/>
                <c:pt idx="0">
                  <c:v>0.16709333955376776</c:v>
                </c:pt>
                <c:pt idx="1">
                  <c:v>4.5279625620459701E-2</c:v>
                </c:pt>
                <c:pt idx="2">
                  <c:v>0.13517685443191638</c:v>
                </c:pt>
                <c:pt idx="3">
                  <c:v>5.1568338099311821E-2</c:v>
                </c:pt>
                <c:pt idx="4">
                  <c:v>0.35893235675577573</c:v>
                </c:pt>
                <c:pt idx="5">
                  <c:v>0.4741574896183462</c:v>
                </c:pt>
                <c:pt idx="6">
                  <c:v>0.32728286984321492</c:v>
                </c:pt>
                <c:pt idx="7">
                  <c:v>0.82005550110908187</c:v>
                </c:pt>
                <c:pt idx="8">
                  <c:v>0.52995902386861415</c:v>
                </c:pt>
                <c:pt idx="9">
                  <c:v>0.48541624021838381</c:v>
                </c:pt>
                <c:pt idx="10">
                  <c:v>0.44219872008864236</c:v>
                </c:pt>
                <c:pt idx="11">
                  <c:v>0.33849637340300626</c:v>
                </c:pt>
                <c:pt idx="12">
                  <c:v>0.6946739229730482</c:v>
                </c:pt>
                <c:pt idx="13">
                  <c:v>0.98738842669426741</c:v>
                </c:pt>
                <c:pt idx="14">
                  <c:v>0.98919612883249863</c:v>
                </c:pt>
                <c:pt idx="15">
                  <c:v>0.87804319957864485</c:v>
                </c:pt>
                <c:pt idx="16">
                  <c:v>0.69969948081736499</c:v>
                </c:pt>
                <c:pt idx="17">
                  <c:v>1.2459071929599659</c:v>
                </c:pt>
                <c:pt idx="18">
                  <c:v>1.4335415637807538</c:v>
                </c:pt>
                <c:pt idx="19">
                  <c:v>1.5282648072152325</c:v>
                </c:pt>
                <c:pt idx="20">
                  <c:v>0.96782071989279861</c:v>
                </c:pt>
                <c:pt idx="21">
                  <c:v>0.86416147228006068</c:v>
                </c:pt>
                <c:pt idx="22">
                  <c:v>0.56368585887748524</c:v>
                </c:pt>
                <c:pt idx="23">
                  <c:v>5.0911709864174245E-2</c:v>
                </c:pt>
                <c:pt idx="24">
                  <c:v>-9.3887277501438299E-2</c:v>
                </c:pt>
                <c:pt idx="25">
                  <c:v>7.7530501132519344E-2</c:v>
                </c:pt>
                <c:pt idx="26">
                  <c:v>-0.11592942143130304</c:v>
                </c:pt>
                <c:pt idx="27">
                  <c:v>-0.48607128386334525</c:v>
                </c:pt>
                <c:pt idx="28">
                  <c:v>-0.67881887660962958</c:v>
                </c:pt>
                <c:pt idx="29">
                  <c:v>-0.50836365446709242</c:v>
                </c:pt>
                <c:pt idx="30">
                  <c:v>-0.65242784942969978</c:v>
                </c:pt>
                <c:pt idx="31">
                  <c:v>-1.0219446618019035</c:v>
                </c:pt>
                <c:pt idx="32">
                  <c:v>-0.95687430196647627</c:v>
                </c:pt>
                <c:pt idx="33">
                  <c:v>0.64428018315860192</c:v>
                </c:pt>
                <c:pt idx="34">
                  <c:v>0.84341173180207241</c:v>
                </c:pt>
                <c:pt idx="35">
                  <c:v>1.6980234625253661</c:v>
                </c:pt>
                <c:pt idx="36">
                  <c:v>1.4250733532035769</c:v>
                </c:pt>
                <c:pt idx="37">
                  <c:v>0.94496711159281988</c:v>
                </c:pt>
                <c:pt idx="38">
                  <c:v>2.2293607634530388</c:v>
                </c:pt>
                <c:pt idx="39">
                  <c:v>2.0007065980346281</c:v>
                </c:pt>
                <c:pt idx="40">
                  <c:v>2.5648967537385468</c:v>
                </c:pt>
                <c:pt idx="41">
                  <c:v>2.3916267743897777</c:v>
                </c:pt>
                <c:pt idx="42">
                  <c:v>2.2510218578263115</c:v>
                </c:pt>
                <c:pt idx="43">
                  <c:v>1.9727760185555252</c:v>
                </c:pt>
                <c:pt idx="44">
                  <c:v>2.2858283802024375</c:v>
                </c:pt>
                <c:pt idx="45">
                  <c:v>2.4312791551003481</c:v>
                </c:pt>
                <c:pt idx="46">
                  <c:v>2.3241723086974075</c:v>
                </c:pt>
                <c:pt idx="47">
                  <c:v>2.6747288428014842</c:v>
                </c:pt>
                <c:pt idx="48">
                  <c:v>2.6872440403934545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76-48E8-B252-3CED714326E9}"/>
            </c:ext>
          </c:extLst>
        </c:ser>
        <c:ser>
          <c:idx val="5"/>
          <c:order val="5"/>
          <c:tx>
            <c:strRef>
              <c:f>'Abbildung 1 (data)'!$O$2</c:f>
              <c:strCache>
                <c:ptCount val="1"/>
                <c:pt idx="0">
                  <c:v>Sekundäreinkommen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numRef>
              <c:f>'Abbildung 1 (data)'!$I$3:$I$50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cat>
          <c:val>
            <c:numRef>
              <c:f>'Abbildung 1 (data)'!$O$3:$O$51</c:f>
              <c:numCache>
                <c:formatCode>General</c:formatCode>
                <c:ptCount val="49"/>
                <c:pt idx="0">
                  <c:v>-1.3593795323905655</c:v>
                </c:pt>
                <c:pt idx="1">
                  <c:v>-1.3679820089373695</c:v>
                </c:pt>
                <c:pt idx="2">
                  <c:v>-1.4832547807168428</c:v>
                </c:pt>
                <c:pt idx="3">
                  <c:v>-1.4304478531405651</c:v>
                </c:pt>
                <c:pt idx="4">
                  <c:v>-1.5238573811328289</c:v>
                </c:pt>
                <c:pt idx="5">
                  <c:v>-1.5241659762587882</c:v>
                </c:pt>
                <c:pt idx="6">
                  <c:v>-1.5072526253731111</c:v>
                </c:pt>
                <c:pt idx="7">
                  <c:v>-1.5542941082849735</c:v>
                </c:pt>
                <c:pt idx="8">
                  <c:v>-1.5534943381938511</c:v>
                </c:pt>
                <c:pt idx="9">
                  <c:v>-1.5160168040899407</c:v>
                </c:pt>
                <c:pt idx="10">
                  <c:v>-1.5630436569430484</c:v>
                </c:pt>
                <c:pt idx="11">
                  <c:v>-1.5436907049848292</c:v>
                </c:pt>
                <c:pt idx="12">
                  <c:v>-1.5375053509123093</c:v>
                </c:pt>
                <c:pt idx="13">
                  <c:v>-1.6900192991518046</c:v>
                </c:pt>
                <c:pt idx="14">
                  <c:v>-1.5412875865706361</c:v>
                </c:pt>
                <c:pt idx="15">
                  <c:v>-1.5190338183149652</c:v>
                </c:pt>
                <c:pt idx="16">
                  <c:v>-1.5068342443758038</c:v>
                </c:pt>
                <c:pt idx="17">
                  <c:v>-1.6446070296824506</c:v>
                </c:pt>
                <c:pt idx="18">
                  <c:v>-1.548121986633185</c:v>
                </c:pt>
                <c:pt idx="19">
                  <c:v>-1.43534834265084</c:v>
                </c:pt>
                <c:pt idx="20">
                  <c:v>-1.901645946322992</c:v>
                </c:pt>
                <c:pt idx="21">
                  <c:v>-1.5459595201021117</c:v>
                </c:pt>
                <c:pt idx="22">
                  <c:v>-1.6502368673097683</c:v>
                </c:pt>
                <c:pt idx="23">
                  <c:v>-1.7144422329157445</c:v>
                </c:pt>
                <c:pt idx="24">
                  <c:v>-1.5587152951113949</c:v>
                </c:pt>
                <c:pt idx="25">
                  <c:v>-1.4684430133346864</c:v>
                </c:pt>
                <c:pt idx="26">
                  <c:v>-1.4711807236534686</c:v>
                </c:pt>
                <c:pt idx="27">
                  <c:v>-1.4532358359433484</c:v>
                </c:pt>
                <c:pt idx="28">
                  <c:v>-1.296518781439975</c:v>
                </c:pt>
                <c:pt idx="29">
                  <c:v>-1.4223439018723714</c:v>
                </c:pt>
                <c:pt idx="30">
                  <c:v>-1.3419997330313826</c:v>
                </c:pt>
                <c:pt idx="31">
                  <c:v>-1.3381173912252289</c:v>
                </c:pt>
                <c:pt idx="32">
                  <c:v>-1.4038484877259141</c:v>
                </c:pt>
                <c:pt idx="33">
                  <c:v>-1.324045931085692</c:v>
                </c:pt>
                <c:pt idx="34">
                  <c:v>-1.3695930621288199</c:v>
                </c:pt>
                <c:pt idx="35">
                  <c:v>-1.3422431951968068</c:v>
                </c:pt>
                <c:pt idx="36">
                  <c:v>-1.3358364505611009</c:v>
                </c:pt>
                <c:pt idx="37">
                  <c:v>-1.3409509560218185</c:v>
                </c:pt>
                <c:pt idx="38">
                  <c:v>-1.4214019127213551</c:v>
                </c:pt>
                <c:pt idx="39">
                  <c:v>-1.5435005069411949</c:v>
                </c:pt>
                <c:pt idx="40">
                  <c:v>-1.2914869911938105</c:v>
                </c:pt>
                <c:pt idx="41">
                  <c:v>-1.409781991833345</c:v>
                </c:pt>
                <c:pt idx="42">
                  <c:v>-1.5442090454763726</c:v>
                </c:pt>
                <c:pt idx="43">
                  <c:v>-1.4064043888325255</c:v>
                </c:pt>
                <c:pt idx="44">
                  <c:v>-1.2822775051401454</c:v>
                </c:pt>
                <c:pt idx="45">
                  <c:v>-1.3059917041574935</c:v>
                </c:pt>
                <c:pt idx="46">
                  <c:v>-1.540674146915707</c:v>
                </c:pt>
                <c:pt idx="47">
                  <c:v>-1.4523170283192353</c:v>
                </c:pt>
                <c:pt idx="48">
                  <c:v>-1.3859976537096714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76-48E8-B252-3CED71432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1289600"/>
        <c:axId val="251291136"/>
      </c:barChart>
      <c:lineChart>
        <c:grouping val="standard"/>
        <c:varyColors val="0"/>
        <c:ser>
          <c:idx val="0"/>
          <c:order val="0"/>
          <c:tx>
            <c:strRef>
              <c:f>'Abbildung 1 (data)'!$J$2</c:f>
              <c:strCache>
                <c:ptCount val="1"/>
                <c:pt idx="0">
                  <c:v>Leistungsbilanzsaldo</c:v>
                </c:pt>
              </c:strCache>
            </c:strRef>
          </c:tx>
          <c:spPr>
            <a:ln w="508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'Abbildung 1 (data)'!$I$3:$I$51</c:f>
              <c:numCache>
                <c:formatCode>General</c:formatCode>
                <c:ptCount val="49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</c:numCache>
            </c:numRef>
          </c:cat>
          <c:val>
            <c:numRef>
              <c:f>'Abbildung 1 (data)'!$J$3:$J$51</c:f>
              <c:numCache>
                <c:formatCode>General</c:formatCode>
                <c:ptCount val="49"/>
                <c:pt idx="0">
                  <c:v>0.5706386070107935</c:v>
                </c:pt>
                <c:pt idx="1">
                  <c:v>0.47311705330338927</c:v>
                </c:pt>
                <c:pt idx="2">
                  <c:v>1.4194877348463026</c:v>
                </c:pt>
                <c:pt idx="3">
                  <c:v>2.6664309004790696</c:v>
                </c:pt>
                <c:pt idx="4">
                  <c:v>1.1854288485871398</c:v>
                </c:pt>
                <c:pt idx="5">
                  <c:v>0.89329752505858728</c:v>
                </c:pt>
                <c:pt idx="6">
                  <c:v>0.85481305154428633</c:v>
                </c:pt>
                <c:pt idx="7">
                  <c:v>1.4327937191357114</c:v>
                </c:pt>
                <c:pt idx="8">
                  <c:v>-0.73263057132782727</c:v>
                </c:pt>
                <c:pt idx="9">
                  <c:v>-1.7905314978313804</c:v>
                </c:pt>
                <c:pt idx="10">
                  <c:v>-0.68462558087407221</c:v>
                </c:pt>
                <c:pt idx="11">
                  <c:v>0.86540779629392817</c:v>
                </c:pt>
                <c:pt idx="12">
                  <c:v>0.66862858579269047</c:v>
                </c:pt>
                <c:pt idx="13">
                  <c:v>1.4287982145116773</c:v>
                </c:pt>
                <c:pt idx="14">
                  <c:v>2.6691161609187231</c:v>
                </c:pt>
                <c:pt idx="15">
                  <c:v>4.0499838941116346</c:v>
                </c:pt>
                <c:pt idx="16">
                  <c:v>3.7540635640813793</c:v>
                </c:pt>
                <c:pt idx="17">
                  <c:v>4.3623701050574653</c:v>
                </c:pt>
                <c:pt idx="18">
                  <c:v>4.7149308485749506</c:v>
                </c:pt>
                <c:pt idx="19">
                  <c:v>3.1568605703768329</c:v>
                </c:pt>
                <c:pt idx="20">
                  <c:v>-1.4220452952389961</c:v>
                </c:pt>
                <c:pt idx="21">
                  <c:v>-1.1833887629108257</c:v>
                </c:pt>
                <c:pt idx="22">
                  <c:v>-1.0365710874412442</c:v>
                </c:pt>
                <c:pt idx="23">
                  <c:v>-1.4998368592386107</c:v>
                </c:pt>
                <c:pt idx="24">
                  <c:v>-1.2456677928966911</c:v>
                </c:pt>
                <c:pt idx="25">
                  <c:v>-0.67612743091944338</c:v>
                </c:pt>
                <c:pt idx="26">
                  <c:v>-0.50970989147693957</c:v>
                </c:pt>
                <c:pt idx="27">
                  <c:v>-0.71058116773562607</c:v>
                </c:pt>
                <c:pt idx="28">
                  <c:v>-1.422362052556956</c:v>
                </c:pt>
                <c:pt idx="29">
                  <c:v>-1.7612583151975496</c:v>
                </c:pt>
                <c:pt idx="30">
                  <c:v>-0.36802857484787399</c:v>
                </c:pt>
                <c:pt idx="31">
                  <c:v>1.8905553381980971</c:v>
                </c:pt>
                <c:pt idx="32">
                  <c:v>1.4138158864517061</c:v>
                </c:pt>
                <c:pt idx="33">
                  <c:v>4.5201921750967946</c:v>
                </c:pt>
                <c:pt idx="34">
                  <c:v>4.6734021177200642</c:v>
                </c:pt>
                <c:pt idx="35">
                  <c:v>5.7722982457611494</c:v>
                </c:pt>
                <c:pt idx="36">
                  <c:v>6.8609628133063953</c:v>
                </c:pt>
                <c:pt idx="37">
                  <c:v>5.6923070579503561</c:v>
                </c:pt>
                <c:pt idx="38">
                  <c:v>5.8364739362071854</c:v>
                </c:pt>
                <c:pt idx="39">
                  <c:v>5.7439734440804866</c:v>
                </c:pt>
                <c:pt idx="40">
                  <c:v>6.2126077384576543</c:v>
                </c:pt>
                <c:pt idx="41">
                  <c:v>7.1289656905777488</c:v>
                </c:pt>
                <c:pt idx="42">
                  <c:v>6.5574152986999117</c:v>
                </c:pt>
                <c:pt idx="43">
                  <c:v>7.2044776476294912</c:v>
                </c:pt>
                <c:pt idx="44">
                  <c:v>8.5900947502862959</c:v>
                </c:pt>
                <c:pt idx="45">
                  <c:v>8.5092789636578274</c:v>
                </c:pt>
                <c:pt idx="46">
                  <c:v>7.8238544648827899</c:v>
                </c:pt>
                <c:pt idx="47">
                  <c:v>7.3996375401047132</c:v>
                </c:pt>
                <c:pt idx="48">
                  <c:v>7.1026391981858445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76-48E8-B252-3CED71432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289600"/>
        <c:axId val="251291136"/>
      </c:lineChart>
      <c:catAx>
        <c:axId val="25128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de-DE"/>
          </a:p>
        </c:txPr>
        <c:crossAx val="251291136"/>
        <c:crosses val="autoZero"/>
        <c:auto val="1"/>
        <c:lblAlgn val="ctr"/>
        <c:lblOffset val="100"/>
        <c:noMultiLvlLbl val="0"/>
      </c:catAx>
      <c:valAx>
        <c:axId val="251291136"/>
        <c:scaling>
          <c:orientation val="minMax"/>
          <c:max val="12"/>
          <c:min val="-6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1289600"/>
        <c:crosses val="autoZero"/>
        <c:crossBetween val="between"/>
        <c:majorUnit val="2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de-DE" sz="1800" b="0" i="0" baseline="0">
                <a:effectLst/>
              </a:rPr>
              <a:t>Die deutsche Leistungsbilanz nach Ländern und Regionen</a:t>
            </a:r>
            <a:endParaRPr lang="de-DE">
              <a:effectLst/>
            </a:endParaRPr>
          </a:p>
          <a:p>
            <a:pPr algn="l">
              <a:defRPr/>
            </a:pPr>
            <a:r>
              <a:rPr lang="de-DE" sz="1200" b="0" i="0" baseline="0">
                <a:effectLst/>
              </a:rPr>
              <a:t>in % des BIP</a:t>
            </a:r>
            <a:endParaRPr lang="de-DE" sz="1200">
              <a:effectLst/>
            </a:endParaRPr>
          </a:p>
          <a:p>
            <a:pPr algn="l">
              <a:defRPr/>
            </a:pP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'Abbildung 2 (data)'!$P$2</c:f>
              <c:strCache>
                <c:ptCount val="1"/>
                <c:pt idx="0">
                  <c:v>Griechenland, Irland, Italien, Portugal, Spanien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numRef>
              <c:f>'Abbildung 2 (data)'!$N$3:$N$30</c:f>
              <c:numCache>
                <c:formatCode>General</c:formatCode>
                <c:ptCount val="28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</c:numCache>
            </c:numRef>
          </c:cat>
          <c:val>
            <c:numRef>
              <c:f>'Abbildung 2 (data)'!$P$3:$P$31</c:f>
              <c:numCache>
                <c:formatCode>General</c:formatCode>
                <c:ptCount val="29"/>
                <c:pt idx="0">
                  <c:v>1.0577209733951322E-2</c:v>
                </c:pt>
                <c:pt idx="1">
                  <c:v>0.10919614019159135</c:v>
                </c:pt>
                <c:pt idx="2">
                  <c:v>-0.25180093594309183</c:v>
                </c:pt>
                <c:pt idx="3">
                  <c:v>-0.4202420748923506</c:v>
                </c:pt>
                <c:pt idx="4">
                  <c:v>-0.45000828913100854</c:v>
                </c:pt>
                <c:pt idx="5">
                  <c:v>-0.44559647068461222</c:v>
                </c:pt>
                <c:pt idx="6">
                  <c:v>-0.15940895406266734</c:v>
                </c:pt>
                <c:pt idx="7">
                  <c:v>-0.12417695526017415</c:v>
                </c:pt>
                <c:pt idx="8">
                  <c:v>-8.4563530599957304E-2</c:v>
                </c:pt>
                <c:pt idx="9">
                  <c:v>0.42959195672067102</c:v>
                </c:pt>
                <c:pt idx="10">
                  <c:v>0.44673635468161688</c:v>
                </c:pt>
                <c:pt idx="11">
                  <c:v>0.95942237002529451</c:v>
                </c:pt>
                <c:pt idx="12">
                  <c:v>1.0493944573312173</c:v>
                </c:pt>
                <c:pt idx="13">
                  <c:v>1.8266492671887988</c:v>
                </c:pt>
                <c:pt idx="14">
                  <c:v>2.1568080373725587</c:v>
                </c:pt>
                <c:pt idx="15">
                  <c:v>2.2098199641102183</c:v>
                </c:pt>
                <c:pt idx="16">
                  <c:v>2.3469501710307852</c:v>
                </c:pt>
                <c:pt idx="17">
                  <c:v>2.1699505986671852</c:v>
                </c:pt>
                <c:pt idx="18">
                  <c:v>1.5069371108012739</c:v>
                </c:pt>
                <c:pt idx="19">
                  <c:v>1.49143413664015</c:v>
                </c:pt>
                <c:pt idx="20">
                  <c:v>1.1535366578060262</c:v>
                </c:pt>
                <c:pt idx="21">
                  <c:v>0.45329186867785426</c:v>
                </c:pt>
                <c:pt idx="22">
                  <c:v>0.18215021253134614</c:v>
                </c:pt>
                <c:pt idx="23">
                  <c:v>0.36486621370963612</c:v>
                </c:pt>
                <c:pt idx="24">
                  <c:v>0.48886128043246524</c:v>
                </c:pt>
                <c:pt idx="25">
                  <c:v>0.31138148112695835</c:v>
                </c:pt>
                <c:pt idx="26">
                  <c:v>0.32589832326139684</c:v>
                </c:pt>
                <c:pt idx="27">
                  <c:v>0.38832605244036988</c:v>
                </c:pt>
                <c:pt idx="28">
                  <c:v>1.0756576744944254E-2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E-4DD2-86C8-531A8C892396}"/>
            </c:ext>
          </c:extLst>
        </c:ser>
        <c:ser>
          <c:idx val="2"/>
          <c:order val="2"/>
          <c:tx>
            <c:strRef>
              <c:f>'Abbildung 2 (data)'!$Q$2</c:f>
              <c:strCache>
                <c:ptCount val="1"/>
                <c:pt idx="0">
                  <c:v>Übrige Euroländer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cat>
            <c:numRef>
              <c:f>'Abbildung 2 (data)'!$N$3:$N$30</c:f>
              <c:numCache>
                <c:formatCode>General</c:formatCode>
                <c:ptCount val="28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</c:numCache>
            </c:numRef>
          </c:cat>
          <c:val>
            <c:numRef>
              <c:f>'Abbildung 2 (data)'!$Q$3:$Q$31</c:f>
              <c:numCache>
                <c:formatCode>General</c:formatCode>
                <c:ptCount val="29"/>
                <c:pt idx="0">
                  <c:v>-6.0329250035376474E-2</c:v>
                </c:pt>
                <c:pt idx="1">
                  <c:v>-0.21116463436923491</c:v>
                </c:pt>
                <c:pt idx="2">
                  <c:v>-5.8438872822735854E-2</c:v>
                </c:pt>
                <c:pt idx="3">
                  <c:v>-2.1399893857504959E-3</c:v>
                </c:pt>
                <c:pt idx="4">
                  <c:v>-0.23749285376383533</c:v>
                </c:pt>
                <c:pt idx="5">
                  <c:v>-8.1658905388834968E-2</c:v>
                </c:pt>
                <c:pt idx="6">
                  <c:v>-0.46784697088442995</c:v>
                </c:pt>
                <c:pt idx="7">
                  <c:v>-0.25260611413945455</c:v>
                </c:pt>
                <c:pt idx="8">
                  <c:v>-0.17285042826344515</c:v>
                </c:pt>
                <c:pt idx="9">
                  <c:v>8.6929576262748387E-2</c:v>
                </c:pt>
                <c:pt idx="10">
                  <c:v>-0.29405396448396803</c:v>
                </c:pt>
                <c:pt idx="11">
                  <c:v>-0.19137954251815203</c:v>
                </c:pt>
                <c:pt idx="12">
                  <c:v>-0.3969568677455384</c:v>
                </c:pt>
                <c:pt idx="13">
                  <c:v>0.30186429291232741</c:v>
                </c:pt>
                <c:pt idx="14">
                  <c:v>0.63367812927444289</c:v>
                </c:pt>
                <c:pt idx="15">
                  <c:v>1.4990017944890739</c:v>
                </c:pt>
                <c:pt idx="16">
                  <c:v>1.9377449940989382</c:v>
                </c:pt>
                <c:pt idx="17">
                  <c:v>1.2641312551786976</c:v>
                </c:pt>
                <c:pt idx="18">
                  <c:v>2.271904666500391</c:v>
                </c:pt>
                <c:pt idx="19">
                  <c:v>1.380826509124941</c:v>
                </c:pt>
                <c:pt idx="20">
                  <c:v>1.809171171238064</c:v>
                </c:pt>
                <c:pt idx="21">
                  <c:v>1.8954294050580809</c:v>
                </c:pt>
                <c:pt idx="22">
                  <c:v>1.2712009532786739</c:v>
                </c:pt>
                <c:pt idx="23">
                  <c:v>1.1526261259876409</c:v>
                </c:pt>
                <c:pt idx="24">
                  <c:v>2.2188512476609454</c:v>
                </c:pt>
                <c:pt idx="25">
                  <c:v>2.3385370281739579</c:v>
                </c:pt>
                <c:pt idx="26">
                  <c:v>2.2501996924489758</c:v>
                </c:pt>
                <c:pt idx="27">
                  <c:v>1.9702590323439093</c:v>
                </c:pt>
                <c:pt idx="28">
                  <c:v>2.1896802815548391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E-4DD2-86C8-531A8C892396}"/>
            </c:ext>
          </c:extLst>
        </c:ser>
        <c:ser>
          <c:idx val="3"/>
          <c:order val="3"/>
          <c:tx>
            <c:strRef>
              <c:f>'Abbildung 2 (data)'!$R$2</c:f>
              <c:strCache>
                <c:ptCount val="1"/>
                <c:pt idx="0">
                  <c:v>Übrige EU-Länder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numRef>
              <c:f>'Abbildung 2 (data)'!$N$3:$N$30</c:f>
              <c:numCache>
                <c:formatCode>General</c:formatCode>
                <c:ptCount val="28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</c:numCache>
            </c:numRef>
          </c:cat>
          <c:val>
            <c:numRef>
              <c:f>'Abbildung 2 (data)'!$R$3:$R$31</c:f>
              <c:numCache>
                <c:formatCode>General</c:formatCode>
                <c:ptCount val="29"/>
                <c:pt idx="0">
                  <c:v>-4.6337656460461597E-2</c:v>
                </c:pt>
                <c:pt idx="1">
                  <c:v>-0.23109929819571579</c:v>
                </c:pt>
                <c:pt idx="2">
                  <c:v>-0.16743451954206146</c:v>
                </c:pt>
                <c:pt idx="3">
                  <c:v>-0.28949684184307622</c:v>
                </c:pt>
                <c:pt idx="4">
                  <c:v>0.11016630300220097</c:v>
                </c:pt>
                <c:pt idx="5">
                  <c:v>-0.10173473169024347</c:v>
                </c:pt>
                <c:pt idx="6">
                  <c:v>-2.5783825297911941E-2</c:v>
                </c:pt>
                <c:pt idx="7">
                  <c:v>-0.15865848358584603</c:v>
                </c:pt>
                <c:pt idx="8">
                  <c:v>-0.39785649775671528</c:v>
                </c:pt>
                <c:pt idx="9">
                  <c:v>-0.8665557657567956</c:v>
                </c:pt>
                <c:pt idx="10">
                  <c:v>0.15894183766466899</c:v>
                </c:pt>
                <c:pt idx="11">
                  <c:v>0.47389123432751634</c:v>
                </c:pt>
                <c:pt idx="12">
                  <c:v>0.5135152403043991</c:v>
                </c:pt>
                <c:pt idx="13">
                  <c:v>0.80547738804518842</c:v>
                </c:pt>
                <c:pt idx="14">
                  <c:v>0.61773024633900142</c:v>
                </c:pt>
                <c:pt idx="15">
                  <c:v>1.0433876012544652</c:v>
                </c:pt>
                <c:pt idx="16">
                  <c:v>1.3974697845612207</c:v>
                </c:pt>
                <c:pt idx="17">
                  <c:v>1.2559862006133933</c:v>
                </c:pt>
                <c:pt idx="18">
                  <c:v>0.80877766556406472</c:v>
                </c:pt>
                <c:pt idx="19">
                  <c:v>1.1262975744813601</c:v>
                </c:pt>
                <c:pt idx="20">
                  <c:v>1.3036831182524244</c:v>
                </c:pt>
                <c:pt idx="21">
                  <c:v>1.4672148500533639</c:v>
                </c:pt>
                <c:pt idx="22">
                  <c:v>1.0701959556796556</c:v>
                </c:pt>
                <c:pt idx="23">
                  <c:v>1.3157673795786748</c:v>
                </c:pt>
                <c:pt idx="24">
                  <c:v>1.4769101043870274</c:v>
                </c:pt>
                <c:pt idx="25">
                  <c:v>1.4720623783542324</c:v>
                </c:pt>
                <c:pt idx="26">
                  <c:v>1.2934863589718304</c:v>
                </c:pt>
                <c:pt idx="27">
                  <c:v>1.1774948645036285</c:v>
                </c:pt>
                <c:pt idx="28">
                  <c:v>1.1074439117259205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0E-4DD2-86C8-531A8C892396}"/>
            </c:ext>
          </c:extLst>
        </c:ser>
        <c:ser>
          <c:idx val="4"/>
          <c:order val="4"/>
          <c:tx>
            <c:strRef>
              <c:f>'Abbildung 2 (data)'!$S$2</c:f>
              <c:strCache>
                <c:ptCount val="1"/>
                <c:pt idx="0">
                  <c:v>Nord- und Südamerika</c:v>
                </c:pt>
              </c:strCache>
            </c:strRef>
          </c:tx>
          <c:spPr>
            <a:pattFill prst="ltUpDiag">
              <a:fgClr>
                <a:schemeClr val="tx2">
                  <a:lumMod val="75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</c:spPr>
          <c:invertIfNegative val="0"/>
          <c:cat>
            <c:numRef>
              <c:f>'Abbildung 2 (data)'!$N$3:$N$30</c:f>
              <c:numCache>
                <c:formatCode>General</c:formatCode>
                <c:ptCount val="28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</c:numCache>
            </c:numRef>
          </c:cat>
          <c:val>
            <c:numRef>
              <c:f>'Abbildung 2 (data)'!$S$3:$S$31</c:f>
              <c:numCache>
                <c:formatCode>General</c:formatCode>
                <c:ptCount val="29"/>
                <c:pt idx="0">
                  <c:v>-6.3993121613065959E-2</c:v>
                </c:pt>
                <c:pt idx="1">
                  <c:v>0.34752707966934193</c:v>
                </c:pt>
                <c:pt idx="2">
                  <c:v>0.53496445963709882</c:v>
                </c:pt>
                <c:pt idx="3">
                  <c:v>0.40115155306277506</c:v>
                </c:pt>
                <c:pt idx="4">
                  <c:v>0.37098671897435359</c:v>
                </c:pt>
                <c:pt idx="5">
                  <c:v>0.69473405611955996</c:v>
                </c:pt>
                <c:pt idx="6">
                  <c:v>0.90149861352828675</c:v>
                </c:pt>
                <c:pt idx="7">
                  <c:v>1.0289767003097667</c:v>
                </c:pt>
                <c:pt idx="8">
                  <c:v>0.88718647425563746</c:v>
                </c:pt>
                <c:pt idx="9">
                  <c:v>0.99663319251430704</c:v>
                </c:pt>
                <c:pt idx="10">
                  <c:v>0.88471926869010487</c:v>
                </c:pt>
                <c:pt idx="11">
                  <c:v>1.4349862609866613</c:v>
                </c:pt>
                <c:pt idx="12">
                  <c:v>1.1017360969808776</c:v>
                </c:pt>
                <c:pt idx="13">
                  <c:v>2.1130687905521279</c:v>
                </c:pt>
                <c:pt idx="14">
                  <c:v>2.1867576945431342</c:v>
                </c:pt>
                <c:pt idx="15">
                  <c:v>2.0753191087929967</c:v>
                </c:pt>
                <c:pt idx="16">
                  <c:v>1.5851847732591864</c:v>
                </c:pt>
                <c:pt idx="17">
                  <c:v>1.4215081543614938</c:v>
                </c:pt>
                <c:pt idx="18">
                  <c:v>0.90306051771863616</c:v>
                </c:pt>
                <c:pt idx="19">
                  <c:v>1.4293803228825457</c:v>
                </c:pt>
                <c:pt idx="20">
                  <c:v>1.4215042545924352</c:v>
                </c:pt>
                <c:pt idx="21">
                  <c:v>1.8437766591022511</c:v>
                </c:pt>
                <c:pt idx="22">
                  <c:v>2.4368475287673181</c:v>
                </c:pt>
                <c:pt idx="23">
                  <c:v>2.7601981601609604</c:v>
                </c:pt>
                <c:pt idx="24">
                  <c:v>3.0638989858320103</c:v>
                </c:pt>
                <c:pt idx="25">
                  <c:v>2.7771260010848411</c:v>
                </c:pt>
                <c:pt idx="26">
                  <c:v>2.4286808896175338</c:v>
                </c:pt>
                <c:pt idx="27">
                  <c:v>2.8683493154166557</c:v>
                </c:pt>
                <c:pt idx="28">
                  <c:v>2.8353843869807087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0E-4DD2-86C8-531A8C892396}"/>
            </c:ext>
          </c:extLst>
        </c:ser>
        <c:ser>
          <c:idx val="5"/>
          <c:order val="5"/>
          <c:tx>
            <c:strRef>
              <c:f>'Abbildung 2 (data)'!$T$2</c:f>
              <c:strCache>
                <c:ptCount val="1"/>
                <c:pt idx="0">
                  <c:v>Asien</c:v>
                </c:pt>
              </c:strCache>
            </c:strRef>
          </c:tx>
          <c:spPr>
            <a:pattFill prst="wdDnDiag">
              <a:fgClr>
                <a:schemeClr val="bg1"/>
              </a:fgClr>
              <a:bgClr>
                <a:schemeClr val="tx1">
                  <a:lumMod val="65000"/>
                  <a:lumOff val="35000"/>
                </a:schemeClr>
              </a:bgClr>
            </a:pattFill>
          </c:spPr>
          <c:invertIfNegative val="0"/>
          <c:cat>
            <c:numRef>
              <c:f>'Abbildung 2 (data)'!$N$3:$N$30</c:f>
              <c:numCache>
                <c:formatCode>General</c:formatCode>
                <c:ptCount val="28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</c:numCache>
            </c:numRef>
          </c:cat>
          <c:val>
            <c:numRef>
              <c:f>'Abbildung 2 (data)'!$T$3:$T$31</c:f>
              <c:numCache>
                <c:formatCode>General</c:formatCode>
                <c:ptCount val="29"/>
                <c:pt idx="0">
                  <c:v>-1.1246793170904277</c:v>
                </c:pt>
                <c:pt idx="1">
                  <c:v>-0.78231620045239292</c:v>
                </c:pt>
                <c:pt idx="2">
                  <c:v>-0.62783634638612362</c:v>
                </c:pt>
                <c:pt idx="3">
                  <c:v>-0.46008013965018729</c:v>
                </c:pt>
                <c:pt idx="4">
                  <c:v>-0.51056791017887593</c:v>
                </c:pt>
                <c:pt idx="5">
                  <c:v>-0.22069028528921925</c:v>
                </c:pt>
                <c:pt idx="6">
                  <c:v>-0.47574688212936284</c:v>
                </c:pt>
                <c:pt idx="7">
                  <c:v>-1.076645590504463</c:v>
                </c:pt>
                <c:pt idx="8">
                  <c:v>-1.1044863752015073</c:v>
                </c:pt>
                <c:pt idx="9">
                  <c:v>-1.5725054881489169</c:v>
                </c:pt>
                <c:pt idx="10">
                  <c:v>-1.0479129498191058</c:v>
                </c:pt>
                <c:pt idx="11">
                  <c:v>-0.49185085436645865</c:v>
                </c:pt>
                <c:pt idx="12">
                  <c:v>-0.5997529809140113</c:v>
                </c:pt>
                <c:pt idx="13">
                  <c:v>-0.74410635044110107</c:v>
                </c:pt>
                <c:pt idx="14">
                  <c:v>-1.0122010129746406</c:v>
                </c:pt>
                <c:pt idx="15">
                  <c:v>-1.1574422241601958</c:v>
                </c:pt>
                <c:pt idx="16">
                  <c:v>-1.0029091236422556</c:v>
                </c:pt>
                <c:pt idx="17">
                  <c:v>-0.73152570793523641</c:v>
                </c:pt>
                <c:pt idx="18">
                  <c:v>-0.13735052520106469</c:v>
                </c:pt>
                <c:pt idx="19">
                  <c:v>-0.30627932459834656</c:v>
                </c:pt>
                <c:pt idx="20">
                  <c:v>0.18475363459510835</c:v>
                </c:pt>
                <c:pt idx="21">
                  <c:v>0.77967020117946606</c:v>
                </c:pt>
                <c:pt idx="22">
                  <c:v>0.9224846781795224</c:v>
                </c:pt>
                <c:pt idx="23">
                  <c:v>1.1773141629347246</c:v>
                </c:pt>
                <c:pt idx="24">
                  <c:v>0.69010187883448226</c:v>
                </c:pt>
                <c:pt idx="25">
                  <c:v>0.75384786701126327</c:v>
                </c:pt>
                <c:pt idx="26">
                  <c:v>0.6898433585311512</c:v>
                </c:pt>
                <c:pt idx="27">
                  <c:v>0.631811043634526</c:v>
                </c:pt>
                <c:pt idx="28">
                  <c:v>0.53827623347626496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0E-4DD2-86C8-531A8C892396}"/>
            </c:ext>
          </c:extLst>
        </c:ser>
        <c:ser>
          <c:idx val="6"/>
          <c:order val="6"/>
          <c:tx>
            <c:strRef>
              <c:f>'Abbildung 2 (data)'!$U$2</c:f>
              <c:strCache>
                <c:ptCount val="1"/>
                <c:pt idx="0">
                  <c:v>Rest der Welt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numRef>
              <c:f>'Abbildung 2 (data)'!$N$3:$N$30</c:f>
              <c:numCache>
                <c:formatCode>General</c:formatCode>
                <c:ptCount val="28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</c:numCache>
            </c:numRef>
          </c:cat>
          <c:val>
            <c:numRef>
              <c:f>'Abbildung 2 (data)'!$U$3:$U$31</c:f>
              <c:numCache>
                <c:formatCode>General</c:formatCode>
                <c:ptCount val="29"/>
                <c:pt idx="0">
                  <c:v>-0.13728315977361571</c:v>
                </c:pt>
                <c:pt idx="1">
                  <c:v>-0.41553184975441537</c:v>
                </c:pt>
                <c:pt idx="2">
                  <c:v>-0.4660248723843301</c:v>
                </c:pt>
                <c:pt idx="3">
                  <c:v>-0.72902936653002115</c:v>
                </c:pt>
                <c:pt idx="4">
                  <c:v>-0.52875176179952577</c:v>
                </c:pt>
                <c:pt idx="5">
                  <c:v>-0.52118109398609347</c:v>
                </c:pt>
                <c:pt idx="6">
                  <c:v>-0.28242187263085433</c:v>
                </c:pt>
                <c:pt idx="7">
                  <c:v>-0.12747072455545516</c:v>
                </c:pt>
                <c:pt idx="8">
                  <c:v>-0.54979169499096869</c:v>
                </c:pt>
                <c:pt idx="9">
                  <c:v>-0.83535178678956301</c:v>
                </c:pt>
                <c:pt idx="10">
                  <c:v>-0.51645912158119089</c:v>
                </c:pt>
                <c:pt idx="11">
                  <c:v>-0.29451413025676437</c:v>
                </c:pt>
                <c:pt idx="12">
                  <c:v>-0.25412005950523819</c:v>
                </c:pt>
                <c:pt idx="13">
                  <c:v>0.21723878683945308</c:v>
                </c:pt>
                <c:pt idx="14">
                  <c:v>9.0629023165567535E-2</c:v>
                </c:pt>
                <c:pt idx="15">
                  <c:v>0.10221200127459107</c:v>
                </c:pt>
                <c:pt idx="16">
                  <c:v>0.59652221399852001</c:v>
                </c:pt>
                <c:pt idx="17">
                  <c:v>0.31225655706482258</c:v>
                </c:pt>
                <c:pt idx="18">
                  <c:v>0.48314450082388438</c:v>
                </c:pt>
                <c:pt idx="19">
                  <c:v>0.6223142255498364</c:v>
                </c:pt>
                <c:pt idx="20">
                  <c:v>0.33995890197359607</c:v>
                </c:pt>
                <c:pt idx="21">
                  <c:v>0.68958270650673303</c:v>
                </c:pt>
                <c:pt idx="22">
                  <c:v>0.67453597026339529</c:v>
                </c:pt>
                <c:pt idx="23">
                  <c:v>0.43370560525785451</c:v>
                </c:pt>
                <c:pt idx="24">
                  <c:v>0.65147125313936638</c:v>
                </c:pt>
                <c:pt idx="25">
                  <c:v>0.85632414409240309</c:v>
                </c:pt>
                <c:pt idx="26">
                  <c:v>0.83574587286863755</c:v>
                </c:pt>
                <c:pt idx="27">
                  <c:v>0.36339717196362875</c:v>
                </c:pt>
                <c:pt idx="28">
                  <c:v>0.42109783681346902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0E-4DD2-86C8-531A8C892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6826368"/>
        <c:axId val="253563648"/>
      </c:barChart>
      <c:lineChart>
        <c:grouping val="standard"/>
        <c:varyColors val="0"/>
        <c:ser>
          <c:idx val="0"/>
          <c:order val="0"/>
          <c:tx>
            <c:strRef>
              <c:f>'Abbildung 2 (data)'!$O$2</c:f>
              <c:strCache>
                <c:ptCount val="1"/>
                <c:pt idx="0">
                  <c:v>Insgesamt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'Abbildung 2 (data)'!$N$3:$N$31</c:f>
              <c:numCache>
                <c:formatCode>General</c:formatCod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numCache>
            </c:numRef>
          </c:cat>
          <c:val>
            <c:numRef>
              <c:f>'Abbildung 2 (data)'!$O$3:$O$31</c:f>
              <c:numCache>
                <c:formatCode>General</c:formatCode>
                <c:ptCount val="29"/>
                <c:pt idx="0">
                  <c:v>-1.4220452952389961</c:v>
                </c:pt>
                <c:pt idx="1">
                  <c:v>-1.1833887629108257</c:v>
                </c:pt>
                <c:pt idx="2">
                  <c:v>-1.0365710874412442</c:v>
                </c:pt>
                <c:pt idx="3">
                  <c:v>-1.4998368592386107</c:v>
                </c:pt>
                <c:pt idx="4">
                  <c:v>-1.2456677928966911</c:v>
                </c:pt>
                <c:pt idx="5">
                  <c:v>-0.67612743091944338</c:v>
                </c:pt>
                <c:pt idx="6">
                  <c:v>-0.50970989147693957</c:v>
                </c:pt>
                <c:pt idx="7">
                  <c:v>-0.71058116773562607</c:v>
                </c:pt>
                <c:pt idx="8">
                  <c:v>-1.422362052556956</c:v>
                </c:pt>
                <c:pt idx="9">
                  <c:v>-1.7612583151975496</c:v>
                </c:pt>
                <c:pt idx="10">
                  <c:v>-0.36802857484787399</c:v>
                </c:pt>
                <c:pt idx="11">
                  <c:v>1.8905553381980971</c:v>
                </c:pt>
                <c:pt idx="12">
                  <c:v>1.4138158864517061</c:v>
                </c:pt>
                <c:pt idx="13">
                  <c:v>4.5201921750967946</c:v>
                </c:pt>
                <c:pt idx="14">
                  <c:v>4.6734021177200642</c:v>
                </c:pt>
                <c:pt idx="15">
                  <c:v>5.7722982457611494</c:v>
                </c:pt>
                <c:pt idx="16">
                  <c:v>6.8609628133063953</c:v>
                </c:pt>
                <c:pt idx="17">
                  <c:v>5.6923070579503561</c:v>
                </c:pt>
                <c:pt idx="18">
                  <c:v>5.8364739362071854</c:v>
                </c:pt>
                <c:pt idx="19">
                  <c:v>5.7439734440804866</c:v>
                </c:pt>
                <c:pt idx="20">
                  <c:v>6.2126077384576543</c:v>
                </c:pt>
                <c:pt idx="21">
                  <c:v>7.1289656905777488</c:v>
                </c:pt>
                <c:pt idx="22">
                  <c:v>6.5574152986999117</c:v>
                </c:pt>
                <c:pt idx="23">
                  <c:v>7.2044776476294912</c:v>
                </c:pt>
                <c:pt idx="24">
                  <c:v>8.5900947502862959</c:v>
                </c:pt>
                <c:pt idx="25">
                  <c:v>8.5092788998436557</c:v>
                </c:pt>
                <c:pt idx="26">
                  <c:v>7.8238544956995257</c:v>
                </c:pt>
                <c:pt idx="27">
                  <c:v>7.3996374803027178</c:v>
                </c:pt>
                <c:pt idx="28">
                  <c:v>7.1026392272961463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0E-4DD2-86C8-531A8C892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826368"/>
        <c:axId val="253563648"/>
      </c:lineChart>
      <c:catAx>
        <c:axId val="25682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de-DE"/>
          </a:p>
        </c:txPr>
        <c:crossAx val="253563648"/>
        <c:crosses val="autoZero"/>
        <c:auto val="1"/>
        <c:lblAlgn val="ctr"/>
        <c:lblOffset val="100"/>
        <c:noMultiLvlLbl val="0"/>
      </c:catAx>
      <c:valAx>
        <c:axId val="253563648"/>
        <c:scaling>
          <c:orientation val="minMax"/>
          <c:min val="-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6826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Data</a:t>
            </a:r>
            <a:r>
              <a:rPr lang="de-DE" baseline="0"/>
              <a:t> Comparison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'Abbildung 3 (data)'!$N$2</c:f>
              <c:strCache>
                <c:ptCount val="1"/>
                <c:pt idx="0">
                  <c:v>Finanzierungssaldo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'Abbildung 3 (data)'!$T$3:$T$31</c:f>
              <c:numCache>
                <c:formatCode>General</c:formatCod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numCache>
            </c:numRef>
          </c:cat>
          <c:val>
            <c:numRef>
              <c:f>'Abbildung 3 (data)'!$N$3:$N$31</c:f>
              <c:numCache>
                <c:formatCode>0.00</c:formatCode>
                <c:ptCount val="29"/>
                <c:pt idx="0">
                  <c:v>-1.6797830747887501</c:v>
                </c:pt>
                <c:pt idx="1">
                  <c:v>-1.2771582670411148</c:v>
                </c:pt>
                <c:pt idx="2">
                  <c:v>-1.0227370080359131</c:v>
                </c:pt>
                <c:pt idx="3">
                  <c:v>-1.5734470224918695</c:v>
                </c:pt>
                <c:pt idx="4">
                  <c:v>-1.3717862779147159</c:v>
                </c:pt>
                <c:pt idx="5">
                  <c:v>-0.82685361563043214</c:v>
                </c:pt>
                <c:pt idx="6">
                  <c:v>-0.57012467174871873</c:v>
                </c:pt>
                <c:pt idx="7">
                  <c:v>-0.77148757458722605</c:v>
                </c:pt>
                <c:pt idx="8">
                  <c:v>-1.4724105113912251</c:v>
                </c:pt>
                <c:pt idx="9">
                  <c:v>-1.9460051491401502</c:v>
                </c:pt>
                <c:pt idx="10">
                  <c:v>-0.51092269877654728</c:v>
                </c:pt>
                <c:pt idx="11">
                  <c:v>1.6858497261296019</c:v>
                </c:pt>
                <c:pt idx="12">
                  <c:v>1.6653779893921514</c:v>
                </c:pt>
                <c:pt idx="13">
                  <c:v>4.4960486537135589</c:v>
                </c:pt>
                <c:pt idx="14">
                  <c:v>4.6009063457311292</c:v>
                </c:pt>
                <c:pt idx="15">
                  <c:v>5.7984218558706626</c:v>
                </c:pt>
                <c:pt idx="16">
                  <c:v>6.8772379028225084</c:v>
                </c:pt>
                <c:pt idx="17">
                  <c:v>5.534520064873611</c:v>
                </c:pt>
                <c:pt idx="18">
                  <c:v>5.8463526227343161</c:v>
                </c:pt>
                <c:pt idx="19">
                  <c:v>5.843472157229761</c:v>
                </c:pt>
                <c:pt idx="20">
                  <c:v>6.0421895187038714</c:v>
                </c:pt>
                <c:pt idx="21">
                  <c:v>7.0935887021866391</c:v>
                </c:pt>
                <c:pt idx="22">
                  <c:v>6.464616643249685</c:v>
                </c:pt>
                <c:pt idx="23">
                  <c:v>7.3334972996792409</c:v>
                </c:pt>
                <c:pt idx="24">
                  <c:v>8.5369314900315842</c:v>
                </c:pt>
                <c:pt idx="25">
                  <c:v>8.5524073896812478</c:v>
                </c:pt>
                <c:pt idx="26">
                  <c:v>8.0328444771786671</c:v>
                </c:pt>
                <c:pt idx="27">
                  <c:v>7.5477892697279305</c:v>
                </c:pt>
                <c:pt idx="28">
                  <c:v>7.2769641448412177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F-469A-A6F2-27D4A9A86D38}"/>
            </c:ext>
          </c:extLst>
        </c:ser>
        <c:ser>
          <c:idx val="1"/>
          <c:order val="1"/>
          <c:tx>
            <c:strRef>
              <c:f>'Abbildung 3 (data)'!$R$2</c:f>
              <c:strCache>
                <c:ptCount val="1"/>
                <c:pt idx="0">
                  <c:v>Savings - Investment (IMF)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'Abbildung 3 (data)'!$T$3:$T$31</c:f>
              <c:numCache>
                <c:formatCode>General</c:formatCod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numCache>
            </c:numRef>
          </c:cat>
          <c:val>
            <c:numRef>
              <c:f>'Abbildung 3 (data)'!$R$3:$R$31</c:f>
              <c:numCache>
                <c:formatCode>General</c:formatCode>
                <c:ptCount val="29"/>
                <c:pt idx="0">
                  <c:v>-1.421999999999997</c:v>
                </c:pt>
                <c:pt idx="1">
                  <c:v>-1.1829999999999998</c:v>
                </c:pt>
                <c:pt idx="2">
                  <c:v>-1.036999999999999</c:v>
                </c:pt>
                <c:pt idx="3">
                  <c:v>-1.4989999999999988</c:v>
                </c:pt>
                <c:pt idx="4">
                  <c:v>-1.2460000000000022</c:v>
                </c:pt>
                <c:pt idx="5">
                  <c:v>-0.67600000000000193</c:v>
                </c:pt>
                <c:pt idx="6">
                  <c:v>-0.51000000000000156</c:v>
                </c:pt>
                <c:pt idx="7">
                  <c:v>-0.71000000000000085</c:v>
                </c:pt>
                <c:pt idx="8">
                  <c:v>-1.4220000000000006</c:v>
                </c:pt>
                <c:pt idx="9">
                  <c:v>-1.7609999999999992</c:v>
                </c:pt>
                <c:pt idx="10">
                  <c:v>-0.3680000000000021</c:v>
                </c:pt>
                <c:pt idx="11">
                  <c:v>1.8910000000000018</c:v>
                </c:pt>
                <c:pt idx="12">
                  <c:v>1.4139999999999979</c:v>
                </c:pt>
                <c:pt idx="13">
                  <c:v>4.5200000000000031</c:v>
                </c:pt>
                <c:pt idx="14">
                  <c:v>4.6739999999999995</c:v>
                </c:pt>
                <c:pt idx="15">
                  <c:v>5.7719999999999985</c:v>
                </c:pt>
                <c:pt idx="16">
                  <c:v>6.8610000000000007</c:v>
                </c:pt>
                <c:pt idx="17">
                  <c:v>5.6920000000000002</c:v>
                </c:pt>
                <c:pt idx="18">
                  <c:v>5.8369999999999997</c:v>
                </c:pt>
                <c:pt idx="19">
                  <c:v>5.7439999999999998</c:v>
                </c:pt>
                <c:pt idx="20">
                  <c:v>6.2129999999999974</c:v>
                </c:pt>
                <c:pt idx="21">
                  <c:v>7.1289999999999978</c:v>
                </c:pt>
                <c:pt idx="22">
                  <c:v>6.5570000000000022</c:v>
                </c:pt>
                <c:pt idx="23">
                  <c:v>7.2240000000000002</c:v>
                </c:pt>
                <c:pt idx="24">
                  <c:v>8.5840000000000032</c:v>
                </c:pt>
                <c:pt idx="25">
                  <c:v>8.620000000000001</c:v>
                </c:pt>
                <c:pt idx="26">
                  <c:v>7.8350000000000009</c:v>
                </c:pt>
                <c:pt idx="27">
                  <c:v>7.950999999999997</c:v>
                </c:pt>
                <c:pt idx="28">
                  <c:v>8.1699999999999982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F-469A-A6F2-27D4A9A86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648128"/>
        <c:axId val="404651872"/>
      </c:lineChart>
      <c:catAx>
        <c:axId val="40464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04651872"/>
        <c:crosses val="autoZero"/>
        <c:auto val="1"/>
        <c:lblAlgn val="ctr"/>
        <c:lblOffset val="100"/>
        <c:noMultiLvlLbl val="0"/>
      </c:catAx>
      <c:valAx>
        <c:axId val="4046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0464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="0"/>
            </a:pPr>
            <a:r>
              <a:rPr lang="de-DE" sz="1800" b="0" i="0" baseline="0">
                <a:effectLst/>
              </a:rPr>
              <a:t>Der deutsche Finanzierungssaldo nach Sektoren</a:t>
            </a:r>
            <a:endParaRPr lang="de-DE" b="0">
              <a:effectLst/>
            </a:endParaRPr>
          </a:p>
          <a:p>
            <a:pPr algn="l">
              <a:defRPr b="0"/>
            </a:pPr>
            <a:r>
              <a:rPr lang="de-DE" sz="1200" b="0" i="0" baseline="0">
                <a:effectLst/>
              </a:rPr>
              <a:t>in % des BIP</a:t>
            </a:r>
            <a:endParaRPr lang="de-DE" sz="1200" b="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'Abbildung 3 (data)'!$J$2</c:f>
              <c:strCache>
                <c:ptCount val="1"/>
                <c:pt idx="0">
                  <c:v>Private Haushalte und private Organisationen ohne Erwerbszweck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'Abbildung 3 (data)'!$I$3:$I$31</c:f>
              <c:strCach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1995 1)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strCache>
            </c:strRef>
          </c:cat>
          <c:val>
            <c:numRef>
              <c:f>'Abbildung 3 (data)'!$J$3:$J$31</c:f>
              <c:numCache>
                <c:formatCode>0.00</c:formatCode>
                <c:ptCount val="29"/>
                <c:pt idx="0">
                  <c:v>4.819649388321352</c:v>
                </c:pt>
                <c:pt idx="1">
                  <c:v>4.6420220203753102</c:v>
                </c:pt>
                <c:pt idx="2">
                  <c:v>4.1384667226382001</c:v>
                </c:pt>
                <c:pt idx="3">
                  <c:v>2.8334836435188984</c:v>
                </c:pt>
                <c:pt idx="4">
                  <c:v>2.9974506626693622</c:v>
                </c:pt>
                <c:pt idx="5">
                  <c:v>3.2127949702817764</c:v>
                </c:pt>
                <c:pt idx="6">
                  <c:v>3.2032225989852892</c:v>
                </c:pt>
                <c:pt idx="7">
                  <c:v>3.3776471639479353</c:v>
                </c:pt>
                <c:pt idx="8">
                  <c:v>3.371724901431429</c:v>
                </c:pt>
                <c:pt idx="9">
                  <c:v>3.5735791265427266</c:v>
                </c:pt>
                <c:pt idx="10">
                  <c:v>4.4786287018881126</c:v>
                </c:pt>
                <c:pt idx="11">
                  <c:v>4.6062089421869601</c:v>
                </c:pt>
                <c:pt idx="12">
                  <c:v>5.6566149839254463</c:v>
                </c:pt>
                <c:pt idx="13">
                  <c:v>5.896080476636671</c:v>
                </c:pt>
                <c:pt idx="14">
                  <c:v>6.3234439389767987</c:v>
                </c:pt>
                <c:pt idx="15">
                  <c:v>5.735656665604508</c:v>
                </c:pt>
                <c:pt idx="16">
                  <c:v>5.4489808165469782</c:v>
                </c:pt>
                <c:pt idx="17">
                  <c:v>5.3799543685622178</c:v>
                </c:pt>
                <c:pt idx="18">
                  <c:v>6.1903807861047619</c:v>
                </c:pt>
                <c:pt idx="19">
                  <c:v>5.794727811573857</c:v>
                </c:pt>
                <c:pt idx="20">
                  <c:v>4.6778241435126748</c:v>
                </c:pt>
                <c:pt idx="21">
                  <c:v>4.9466180504205353</c:v>
                </c:pt>
                <c:pt idx="22">
                  <c:v>4.7272662599818593</c:v>
                </c:pt>
                <c:pt idx="23">
                  <c:v>4.895078618446898</c:v>
                </c:pt>
                <c:pt idx="24">
                  <c:v>5.2573042866996476</c:v>
                </c:pt>
                <c:pt idx="25">
                  <c:v>5.2231900705146614</c:v>
                </c:pt>
                <c:pt idx="26">
                  <c:v>5.4453172428882679</c:v>
                </c:pt>
                <c:pt idx="27">
                  <c:v>5.654278683279661</c:v>
                </c:pt>
                <c:pt idx="28">
                  <c:v>5.6008220749240953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A-435D-B652-27C925123B82}"/>
            </c:ext>
          </c:extLst>
        </c:ser>
        <c:ser>
          <c:idx val="1"/>
          <c:order val="1"/>
          <c:tx>
            <c:strRef>
              <c:f>'Abbildung 3 (data)'!$K$2</c:f>
              <c:strCache>
                <c:ptCount val="1"/>
                <c:pt idx="0">
                  <c:v>Staat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'Abbildung 3 (data)'!$I$3:$I$31</c:f>
              <c:strCach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1995 1)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strCache>
            </c:strRef>
          </c:cat>
          <c:val>
            <c:numRef>
              <c:f>'Abbildung 3 (data)'!$K$3:$K$31</c:f>
              <c:numCache>
                <c:formatCode>0.00</c:formatCode>
                <c:ptCount val="29"/>
                <c:pt idx="0">
                  <c:v>-3.1890528439904151</c:v>
                </c:pt>
                <c:pt idx="1">
                  <c:v>-2.6050197995370317</c:v>
                </c:pt>
                <c:pt idx="2">
                  <c:v>-3.0949402875109229</c:v>
                </c:pt>
                <c:pt idx="3">
                  <c:v>-2.5238446612554997</c:v>
                </c:pt>
                <c:pt idx="4">
                  <c:v>-9.4322314354933212</c:v>
                </c:pt>
                <c:pt idx="5">
                  <c:v>-3.5704025231864596</c:v>
                </c:pt>
                <c:pt idx="6">
                  <c:v>-2.9421002982943678</c:v>
                </c:pt>
                <c:pt idx="7">
                  <c:v>-2.5668927036069933</c:v>
                </c:pt>
                <c:pt idx="8">
                  <c:v>-1.7192203857284361</c:v>
                </c:pt>
                <c:pt idx="9">
                  <c:v>-1.5846644761484809</c:v>
                </c:pt>
                <c:pt idx="10">
                  <c:v>-3.0254448709805115</c:v>
                </c:pt>
                <c:pt idx="11">
                  <c:v>-3.8749931759867531</c:v>
                </c:pt>
                <c:pt idx="12">
                  <c:v>-3.7042010879149205</c:v>
                </c:pt>
                <c:pt idx="13">
                  <c:v>-3.3341583720806893</c:v>
                </c:pt>
                <c:pt idx="14">
                  <c:v>-3.3194366147943244</c:v>
                </c:pt>
                <c:pt idx="15">
                  <c:v>-1.6531520955271943</c:v>
                </c:pt>
                <c:pt idx="16">
                  <c:v>0.26088695965273745</c:v>
                </c:pt>
                <c:pt idx="17">
                  <c:v>-0.11635623937262665</c:v>
                </c:pt>
                <c:pt idx="18">
                  <c:v>-3.1505112992848758</c:v>
                </c:pt>
                <c:pt idx="19">
                  <c:v>-4.3786460770550617</c:v>
                </c:pt>
                <c:pt idx="20">
                  <c:v>-0.88139859516773345</c:v>
                </c:pt>
                <c:pt idx="21">
                  <c:v>9.324994262942983E-3</c:v>
                </c:pt>
                <c:pt idx="22">
                  <c:v>3.9980792146121977E-2</c:v>
                </c:pt>
                <c:pt idx="23">
                  <c:v>0.57955271347222659</c:v>
                </c:pt>
                <c:pt idx="24">
                  <c:v>0.94321253304379093</c:v>
                </c:pt>
                <c:pt idx="25">
                  <c:v>1.184135796560416</c:v>
                </c:pt>
                <c:pt idx="26">
                  <c:v>1.2417603752245769</c:v>
                </c:pt>
                <c:pt idx="27">
                  <c:v>1.8665996884316032</c:v>
                </c:pt>
                <c:pt idx="28">
                  <c:v>1.4675958675015501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A-435D-B652-27C925123B82}"/>
            </c:ext>
          </c:extLst>
        </c:ser>
        <c:ser>
          <c:idx val="2"/>
          <c:order val="2"/>
          <c:tx>
            <c:strRef>
              <c:f>'Abbildung 3 (data)'!$L$2</c:f>
              <c:strCache>
                <c:ptCount val="1"/>
                <c:pt idx="0">
                  <c:v>Nichtfinanzielle Kapitalgesellschaften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'Abbildung 3 (data)'!$I$3:$I$31</c:f>
              <c:strCach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1995 1)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strCache>
            </c:strRef>
          </c:cat>
          <c:val>
            <c:numRef>
              <c:f>'Abbildung 3 (data)'!$L$3:$L$31</c:f>
              <c:numCache>
                <c:formatCode>0.00</c:formatCode>
                <c:ptCount val="29"/>
                <c:pt idx="0">
                  <c:v>-3.4181485685458446</c:v>
                </c:pt>
                <c:pt idx="1">
                  <c:v>-3.6122698377260494</c:v>
                </c:pt>
                <c:pt idx="2">
                  <c:v>-2.48102393639806</c:v>
                </c:pt>
                <c:pt idx="3">
                  <c:v>-1.856740728594463</c:v>
                </c:pt>
                <c:pt idx="4">
                  <c:v>4.8214144335773588</c:v>
                </c:pt>
                <c:pt idx="5">
                  <c:v>-0.77142470515983297</c:v>
                </c:pt>
                <c:pt idx="6">
                  <c:v>-0.82018203605027673</c:v>
                </c:pt>
                <c:pt idx="7">
                  <c:v>-0.95044727514619587</c:v>
                </c:pt>
                <c:pt idx="8">
                  <c:v>-3.7195796997300286</c:v>
                </c:pt>
                <c:pt idx="9">
                  <c:v>-4.0960319379448</c:v>
                </c:pt>
                <c:pt idx="10">
                  <c:v>-2.0981431872370586</c:v>
                </c:pt>
                <c:pt idx="11">
                  <c:v>0.8797517878914709</c:v>
                </c:pt>
                <c:pt idx="12">
                  <c:v>-0.83904194757570405</c:v>
                </c:pt>
                <c:pt idx="13">
                  <c:v>1.294220603574775</c:v>
                </c:pt>
                <c:pt idx="14">
                  <c:v>0.89646944688438179</c:v>
                </c:pt>
                <c:pt idx="15">
                  <c:v>0.45843326010029012</c:v>
                </c:pt>
                <c:pt idx="16">
                  <c:v>0.37778800184033123</c:v>
                </c:pt>
                <c:pt idx="17">
                  <c:v>-0.48576668276726009</c:v>
                </c:pt>
                <c:pt idx="18">
                  <c:v>2.8351044473429199</c:v>
                </c:pt>
                <c:pt idx="19">
                  <c:v>3.175830603649977</c:v>
                </c:pt>
                <c:pt idx="20">
                  <c:v>1.9786082359405397</c:v>
                </c:pt>
                <c:pt idx="21">
                  <c:v>2.3871985313134036</c:v>
                </c:pt>
                <c:pt idx="22">
                  <c:v>2.5895388336564285</c:v>
                </c:pt>
                <c:pt idx="23">
                  <c:v>1.460325268238694</c:v>
                </c:pt>
                <c:pt idx="24">
                  <c:v>2.2404762926269033</c:v>
                </c:pt>
                <c:pt idx="25">
                  <c:v>2.2783574231836896</c:v>
                </c:pt>
                <c:pt idx="26">
                  <c:v>1.6839189026776662</c:v>
                </c:pt>
                <c:pt idx="27">
                  <c:v>0.22309134455816793</c:v>
                </c:pt>
                <c:pt idx="28">
                  <c:v>0.47505101580398279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A-435D-B652-27C925123B82}"/>
            </c:ext>
          </c:extLst>
        </c:ser>
        <c:ser>
          <c:idx val="3"/>
          <c:order val="3"/>
          <c:tx>
            <c:strRef>
              <c:f>'Abbildung 3 (data)'!$M$2</c:f>
              <c:strCache>
                <c:ptCount val="1"/>
                <c:pt idx="0">
                  <c:v>Finanzielle Kapitalgesellschaften</c:v>
                </c:pt>
              </c:strCache>
            </c:strRef>
          </c:tx>
          <c:spPr>
            <a:pattFill prst="ltUpDiag">
              <a:fgClr>
                <a:schemeClr val="tx2">
                  <a:lumMod val="75000"/>
                </a:schemeClr>
              </a:fgClr>
              <a:bgClr>
                <a:schemeClr val="tx2">
                  <a:lumMod val="20000"/>
                  <a:lumOff val="80000"/>
                </a:schemeClr>
              </a:bgClr>
            </a:pattFill>
          </c:spPr>
          <c:invertIfNegative val="0"/>
          <c:cat>
            <c:strRef>
              <c:f>'Abbildung 3 (data)'!$I$3:$I$31</c:f>
              <c:strCache>
                <c:ptCount val="2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1995 1)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</c:strCache>
            </c:strRef>
          </c:cat>
          <c:val>
            <c:numRef>
              <c:f>'Abbildung 3 (data)'!$M$3:$M$31</c:f>
              <c:numCache>
                <c:formatCode>0.00</c:formatCode>
                <c:ptCount val="29"/>
                <c:pt idx="0">
                  <c:v>0.10776894942615715</c:v>
                </c:pt>
                <c:pt idx="1">
                  <c:v>0.29810934984665644</c:v>
                </c:pt>
                <c:pt idx="2">
                  <c:v>0.41476049323486908</c:v>
                </c:pt>
                <c:pt idx="3">
                  <c:v>-2.6345276160804568E-2</c:v>
                </c:pt>
                <c:pt idx="4">
                  <c:v>0.24158006133188364</c:v>
                </c:pt>
                <c:pt idx="5">
                  <c:v>0.30217864243408382</c:v>
                </c:pt>
                <c:pt idx="6">
                  <c:v>-1.1064936389363383E-2</c:v>
                </c:pt>
                <c:pt idx="7">
                  <c:v>-0.63179475978197197</c:v>
                </c:pt>
                <c:pt idx="8">
                  <c:v>0.59466467263581102</c:v>
                </c:pt>
                <c:pt idx="9">
                  <c:v>0.16111213841040448</c:v>
                </c:pt>
                <c:pt idx="10">
                  <c:v>0.13403665755291042</c:v>
                </c:pt>
                <c:pt idx="11">
                  <c:v>7.4882172037923314E-2</c:v>
                </c:pt>
                <c:pt idx="12">
                  <c:v>0.55200604095732897</c:v>
                </c:pt>
                <c:pt idx="13">
                  <c:v>0.63990594558280145</c:v>
                </c:pt>
                <c:pt idx="14">
                  <c:v>0.70042957466427191</c:v>
                </c:pt>
                <c:pt idx="15">
                  <c:v>1.2574840256930586</c:v>
                </c:pt>
                <c:pt idx="16">
                  <c:v>0.78958212478246093</c:v>
                </c:pt>
                <c:pt idx="17">
                  <c:v>0.75668861845127999</c:v>
                </c:pt>
                <c:pt idx="18">
                  <c:v>-2.862131142848965E-2</c:v>
                </c:pt>
                <c:pt idx="19">
                  <c:v>1.2515598190609889</c:v>
                </c:pt>
                <c:pt idx="20">
                  <c:v>0.26715573441839052</c:v>
                </c:pt>
                <c:pt idx="21">
                  <c:v>-0.24955287381024366</c:v>
                </c:pt>
                <c:pt idx="22">
                  <c:v>-0.8921692425347254</c:v>
                </c:pt>
                <c:pt idx="23">
                  <c:v>0.39854069952142324</c:v>
                </c:pt>
                <c:pt idx="24">
                  <c:v>9.593837766124215E-2</c:v>
                </c:pt>
                <c:pt idx="25">
                  <c:v>-0.13327590057751826</c:v>
                </c:pt>
                <c:pt idx="26">
                  <c:v>-0.33815204361184475</c:v>
                </c:pt>
                <c:pt idx="27">
                  <c:v>-0.1961804465415011</c:v>
                </c:pt>
                <c:pt idx="28">
                  <c:v>-0.26650481338841003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2A-435D-B652-27C925123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8253568"/>
        <c:axId val="258255104"/>
      </c:barChart>
      <c:lineChart>
        <c:grouping val="standard"/>
        <c:varyColors val="0"/>
        <c:ser>
          <c:idx val="4"/>
          <c:order val="4"/>
          <c:tx>
            <c:strRef>
              <c:f>'Abbildung 3 (data)'!$N$2</c:f>
              <c:strCache>
                <c:ptCount val="1"/>
                <c:pt idx="0">
                  <c:v>Finanzierungssaldo</c:v>
                </c:pt>
              </c:strCache>
            </c:strRef>
          </c:tx>
          <c:spPr>
            <a:ln w="508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'Abbildung 3 (data)'!$I$3:$I$30</c:f>
              <c:strCache>
                <c:ptCount val="28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1995 1)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</c:strCache>
            </c:strRef>
          </c:cat>
          <c:val>
            <c:numRef>
              <c:f>'Abbildung 3 (data)'!$N$3:$N$31</c:f>
              <c:numCache>
                <c:formatCode>0.00</c:formatCode>
                <c:ptCount val="29"/>
                <c:pt idx="0">
                  <c:v>-1.6797830747887501</c:v>
                </c:pt>
                <c:pt idx="1">
                  <c:v>-1.2771582670411148</c:v>
                </c:pt>
                <c:pt idx="2">
                  <c:v>-1.0227370080359131</c:v>
                </c:pt>
                <c:pt idx="3">
                  <c:v>-1.5734470224918695</c:v>
                </c:pt>
                <c:pt idx="4">
                  <c:v>-1.3717862779147159</c:v>
                </c:pt>
                <c:pt idx="5">
                  <c:v>-0.82685361563043214</c:v>
                </c:pt>
                <c:pt idx="6">
                  <c:v>-0.57012467174871873</c:v>
                </c:pt>
                <c:pt idx="7">
                  <c:v>-0.77148757458722605</c:v>
                </c:pt>
                <c:pt idx="8">
                  <c:v>-1.4724105113912251</c:v>
                </c:pt>
                <c:pt idx="9">
                  <c:v>-1.9460051491401502</c:v>
                </c:pt>
                <c:pt idx="10">
                  <c:v>-0.51092269877654728</c:v>
                </c:pt>
                <c:pt idx="11">
                  <c:v>1.6858497261296019</c:v>
                </c:pt>
                <c:pt idx="12">
                  <c:v>1.6653779893921514</c:v>
                </c:pt>
                <c:pt idx="13">
                  <c:v>4.4960486537135589</c:v>
                </c:pt>
                <c:pt idx="14">
                  <c:v>4.6009063457311292</c:v>
                </c:pt>
                <c:pt idx="15">
                  <c:v>5.7984218558706626</c:v>
                </c:pt>
                <c:pt idx="16">
                  <c:v>6.8772379028225084</c:v>
                </c:pt>
                <c:pt idx="17">
                  <c:v>5.534520064873611</c:v>
                </c:pt>
                <c:pt idx="18">
                  <c:v>5.8463526227343161</c:v>
                </c:pt>
                <c:pt idx="19">
                  <c:v>5.843472157229761</c:v>
                </c:pt>
                <c:pt idx="20">
                  <c:v>6.0421895187038714</c:v>
                </c:pt>
                <c:pt idx="21">
                  <c:v>7.0935887021866391</c:v>
                </c:pt>
                <c:pt idx="22">
                  <c:v>6.464616643249685</c:v>
                </c:pt>
                <c:pt idx="23">
                  <c:v>7.3334972996792409</c:v>
                </c:pt>
                <c:pt idx="24">
                  <c:v>8.5369314900315842</c:v>
                </c:pt>
                <c:pt idx="25">
                  <c:v>8.5524073896812478</c:v>
                </c:pt>
                <c:pt idx="26">
                  <c:v>8.0328444771786671</c:v>
                </c:pt>
                <c:pt idx="27">
                  <c:v>7.5477892697279305</c:v>
                </c:pt>
                <c:pt idx="28">
                  <c:v>7.2769641448412177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2A-435D-B652-27C925123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53568"/>
        <c:axId val="258255104"/>
      </c:lineChart>
      <c:catAx>
        <c:axId val="25825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de-DE"/>
          </a:p>
        </c:txPr>
        <c:crossAx val="258255104"/>
        <c:crosses val="autoZero"/>
        <c:auto val="1"/>
        <c:lblAlgn val="ctr"/>
        <c:lblOffset val="100"/>
        <c:noMultiLvlLbl val="0"/>
      </c:catAx>
      <c:valAx>
        <c:axId val="258255104"/>
        <c:scaling>
          <c:orientation val="minMax"/>
          <c:max val="12"/>
          <c:min val="-1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58253568"/>
        <c:crosses val="autoZero"/>
        <c:crossBetween val="between"/>
        <c:majorUnit val="2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45" workbookViewId="0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21" workbookViewId="0" zoomToFit="1"/>
  </sheetViews>
  <pageMargins left="0.7" right="0.7" top="0.78740157499999996" bottom="0.78740157499999996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121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224" cy="6017172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09154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</xdr:colOff>
      <xdr:row>12</xdr:row>
      <xdr:rowOff>0</xdr:rowOff>
    </xdr:from>
    <xdr:to>
      <xdr:col>15</xdr:col>
      <xdr:colOff>385762</xdr:colOff>
      <xdr:row>27</xdr:row>
      <xdr:rowOff>28575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33E268E-E9E6-4CB1-94AE-985DE2F6E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09154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2"/>
  <sheetViews>
    <sheetView workbookViewId="0">
      <selection activeCell="C29" sqref="C29"/>
    </sheetView>
  </sheetViews>
  <sheetFormatPr baseColWidth="10" defaultRowHeight="14.25" x14ac:dyDescent="0.2"/>
  <cols>
    <col min="10" max="10" width="12.875" bestFit="1" customWidth="1"/>
  </cols>
  <sheetData>
    <row r="1" spans="1:15" x14ac:dyDescent="0.2">
      <c r="B1" t="s">
        <v>35</v>
      </c>
      <c r="C1" t="s">
        <v>28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15" x14ac:dyDescent="0.2">
      <c r="B2" t="s">
        <v>36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J2" t="s">
        <v>55</v>
      </c>
      <c r="K2" t="s">
        <v>60</v>
      </c>
      <c r="L2" t="s">
        <v>56</v>
      </c>
      <c r="M2" t="s">
        <v>57</v>
      </c>
      <c r="N2" t="s">
        <v>58</v>
      </c>
      <c r="O2" t="s">
        <v>59</v>
      </c>
    </row>
    <row r="3" spans="1:15" x14ac:dyDescent="0.2">
      <c r="A3" s="1">
        <v>26298</v>
      </c>
      <c r="B3">
        <v>400.24</v>
      </c>
      <c r="C3">
        <v>2283.9239607</v>
      </c>
      <c r="D3">
        <v>12109.5391726</v>
      </c>
      <c r="E3">
        <v>-5053.6089537400003</v>
      </c>
      <c r="F3">
        <v>-3653.9009014100002</v>
      </c>
      <c r="G3">
        <v>668.77438223000001</v>
      </c>
      <c r="H3">
        <v>-5440.7806404399998</v>
      </c>
      <c r="I3">
        <v>1971</v>
      </c>
      <c r="J3" s="3">
        <f>C3/$B3/1000*100</f>
        <v>0.5706386070107935</v>
      </c>
      <c r="K3" s="3">
        <f t="shared" ref="K3:O18" si="0">D3/$B3/1000*100</f>
        <v>3.0255694514791123</v>
      </c>
      <c r="L3" s="3">
        <f>(E3-F3)/$B3/1000*100</f>
        <v>-0.34971718277283631</v>
      </c>
      <c r="M3" s="3">
        <f t="shared" si="0"/>
        <v>-0.91292746887117726</v>
      </c>
      <c r="N3" s="3">
        <f t="shared" si="0"/>
        <v>0.16709333955376776</v>
      </c>
      <c r="O3" s="3">
        <f t="shared" si="0"/>
        <v>-1.3593795323905655</v>
      </c>
    </row>
    <row r="4" spans="1:15" x14ac:dyDescent="0.2">
      <c r="A4" s="1">
        <v>26664</v>
      </c>
      <c r="B4">
        <v>436.37</v>
      </c>
      <c r="C4">
        <v>2064.5408855000001</v>
      </c>
      <c r="D4">
        <v>13596.4782215</v>
      </c>
      <c r="E4">
        <v>-5760.0609459899997</v>
      </c>
      <c r="F4">
        <v>-4366.37386685</v>
      </c>
      <c r="G4">
        <v>197.58670232</v>
      </c>
      <c r="H4">
        <v>-5969.4630924000003</v>
      </c>
      <c r="I4">
        <v>1972</v>
      </c>
      <c r="J4" s="3">
        <f t="shared" ref="J4:J29" si="1">C4/$B4/1000*100</f>
        <v>0.47311705330338927</v>
      </c>
      <c r="K4" s="3">
        <f t="shared" si="0"/>
        <v>3.1158141534706782</v>
      </c>
      <c r="L4" s="3">
        <f t="shared" ref="L4:L29" si="2">(E4-F4)/$B4/1000*100</f>
        <v>-0.31938196464926544</v>
      </c>
      <c r="M4" s="3">
        <f t="shared" si="0"/>
        <v>-1.0006127522171551</v>
      </c>
      <c r="N4" s="3">
        <f t="shared" si="0"/>
        <v>4.5279625620459701E-2</v>
      </c>
      <c r="O4" s="3">
        <f t="shared" si="0"/>
        <v>-1.3679820089373695</v>
      </c>
    </row>
    <row r="5" spans="1:15" x14ac:dyDescent="0.2">
      <c r="A5" s="1">
        <v>27029</v>
      </c>
      <c r="B5">
        <v>486.02</v>
      </c>
      <c r="C5">
        <v>6898.9942889000004</v>
      </c>
      <c r="D5">
        <v>20792.828620100001</v>
      </c>
      <c r="E5">
        <v>-7341.9059938700002</v>
      </c>
      <c r="F5">
        <v>-5847.3880654300001</v>
      </c>
      <c r="G5">
        <v>656.98654791000001</v>
      </c>
      <c r="H5">
        <v>-7208.9148852400003</v>
      </c>
      <c r="I5">
        <v>1973</v>
      </c>
      <c r="J5" s="3">
        <f t="shared" si="1"/>
        <v>1.4194877348463026</v>
      </c>
      <c r="K5" s="3">
        <f t="shared" si="0"/>
        <v>4.2781837414303938</v>
      </c>
      <c r="L5" s="3">
        <f t="shared" si="2"/>
        <v>-0.30750132266984898</v>
      </c>
      <c r="M5" s="3">
        <f t="shared" si="0"/>
        <v>-1.2031167576293158</v>
      </c>
      <c r="N5" s="3">
        <f t="shared" si="0"/>
        <v>0.13517685443191638</v>
      </c>
      <c r="O5" s="3">
        <f t="shared" si="0"/>
        <v>-1.4832547807168428</v>
      </c>
    </row>
    <row r="6" spans="1:15" x14ac:dyDescent="0.2">
      <c r="A6" s="1">
        <v>27394</v>
      </c>
      <c r="B6">
        <v>526.02</v>
      </c>
      <c r="C6">
        <v>14025.959822700001</v>
      </c>
      <c r="D6">
        <v>29480.620503800001</v>
      </c>
      <c r="E6">
        <v>-8201.4786561199999</v>
      </c>
      <c r="F6">
        <v>-6465.1585260499996</v>
      </c>
      <c r="G6">
        <v>271.25977207</v>
      </c>
      <c r="H6">
        <v>-7524.4417970900004</v>
      </c>
      <c r="I6">
        <v>1974</v>
      </c>
      <c r="J6" s="3">
        <f t="shared" si="1"/>
        <v>2.6664309004790696</v>
      </c>
      <c r="K6" s="3">
        <f t="shared" si="0"/>
        <v>5.604467606516863</v>
      </c>
      <c r="L6" s="3">
        <f t="shared" si="2"/>
        <v>-0.33008633323257675</v>
      </c>
      <c r="M6" s="3">
        <f t="shared" si="0"/>
        <v>-1.2290708577715677</v>
      </c>
      <c r="N6" s="3">
        <f t="shared" si="0"/>
        <v>5.1568338099311821E-2</v>
      </c>
      <c r="O6" s="3">
        <f t="shared" si="0"/>
        <v>-1.4304478531405651</v>
      </c>
    </row>
    <row r="7" spans="1:15" x14ac:dyDescent="0.2">
      <c r="A7" s="1">
        <v>27759</v>
      </c>
      <c r="B7">
        <v>551.01</v>
      </c>
      <c r="C7">
        <v>6531.8314985999996</v>
      </c>
      <c r="D7">
        <v>21969.130241399998</v>
      </c>
      <c r="E7">
        <v>-9018.44536591</v>
      </c>
      <c r="F7">
        <v>-7476.0204107700001</v>
      </c>
      <c r="G7">
        <v>1977.75317896</v>
      </c>
      <c r="H7">
        <v>-8396.6065557799993</v>
      </c>
      <c r="I7">
        <v>1975</v>
      </c>
      <c r="J7" s="3">
        <f t="shared" si="1"/>
        <v>1.1854288485871398</v>
      </c>
      <c r="K7" s="3">
        <f t="shared" si="0"/>
        <v>3.9870656143082694</v>
      </c>
      <c r="L7" s="3">
        <f t="shared" si="2"/>
        <v>-0.27992685344004647</v>
      </c>
      <c r="M7" s="3">
        <f t="shared" si="0"/>
        <v>-1.3567848878913269</v>
      </c>
      <c r="N7" s="3">
        <f t="shared" si="0"/>
        <v>0.35893235675577573</v>
      </c>
      <c r="O7" s="3">
        <f t="shared" si="0"/>
        <v>-1.5238573811328289</v>
      </c>
    </row>
    <row r="8" spans="1:15" x14ac:dyDescent="0.2">
      <c r="A8" s="1">
        <v>28125</v>
      </c>
      <c r="B8">
        <v>597.4</v>
      </c>
      <c r="C8">
        <v>5336.5594147000002</v>
      </c>
      <c r="D8">
        <v>21067.6940225</v>
      </c>
      <c r="E8">
        <v>-9458.3839086200005</v>
      </c>
      <c r="F8">
        <v>-7555.0993695799998</v>
      </c>
      <c r="G8">
        <v>2832.61684298</v>
      </c>
      <c r="H8">
        <v>-9105.3675421700009</v>
      </c>
      <c r="I8">
        <v>1976</v>
      </c>
      <c r="J8" s="3">
        <f t="shared" si="1"/>
        <v>0.89329752505858728</v>
      </c>
      <c r="K8" s="3">
        <f t="shared" si="0"/>
        <v>3.5265641149146307</v>
      </c>
      <c r="L8" s="3">
        <f t="shared" si="2"/>
        <v>-0.31859466672915987</v>
      </c>
      <c r="M8" s="3">
        <f t="shared" si="0"/>
        <v>-1.2646634364881151</v>
      </c>
      <c r="N8" s="3">
        <f t="shared" si="0"/>
        <v>0.4741574896183462</v>
      </c>
      <c r="O8" s="3">
        <f t="shared" si="0"/>
        <v>-1.5241659762587882</v>
      </c>
    </row>
    <row r="9" spans="1:15" x14ac:dyDescent="0.2">
      <c r="A9" s="1">
        <v>28490</v>
      </c>
      <c r="B9">
        <v>636.54</v>
      </c>
      <c r="C9">
        <v>5441.2269982999997</v>
      </c>
      <c r="D9">
        <v>23174.140390500001</v>
      </c>
      <c r="E9">
        <v>-10221.93391041</v>
      </c>
      <c r="F9">
        <v>-8619.3099604800009</v>
      </c>
      <c r="G9">
        <v>2083.2863797</v>
      </c>
      <c r="H9">
        <v>-9594.2658615500004</v>
      </c>
      <c r="I9">
        <v>1977</v>
      </c>
      <c r="J9" s="3">
        <f t="shared" si="1"/>
        <v>0.85481305154428633</v>
      </c>
      <c r="K9" s="3">
        <f t="shared" si="0"/>
        <v>3.640641654962768</v>
      </c>
      <c r="L9" s="3">
        <f t="shared" si="2"/>
        <v>-0.25177112984729932</v>
      </c>
      <c r="M9" s="3">
        <f t="shared" si="0"/>
        <v>-1.354087718050712</v>
      </c>
      <c r="N9" s="3">
        <f t="shared" si="0"/>
        <v>0.32728286984321492</v>
      </c>
      <c r="O9" s="3">
        <f t="shared" si="0"/>
        <v>-1.5072526253731111</v>
      </c>
    </row>
    <row r="10" spans="1:15" x14ac:dyDescent="0.2">
      <c r="A10" s="1">
        <v>28855</v>
      </c>
      <c r="B10">
        <v>678.94</v>
      </c>
      <c r="C10">
        <v>9727.8096767000006</v>
      </c>
      <c r="D10">
        <v>25845.7376152</v>
      </c>
      <c r="E10">
        <v>-11132.88833897</v>
      </c>
      <c r="F10">
        <v>-9661.7006590599995</v>
      </c>
      <c r="G10">
        <v>5567.6848192300004</v>
      </c>
      <c r="H10">
        <v>-10552.72441879</v>
      </c>
      <c r="I10">
        <v>1978</v>
      </c>
      <c r="J10" s="3">
        <f t="shared" si="1"/>
        <v>1.4327937191357114</v>
      </c>
      <c r="K10" s="3">
        <f t="shared" si="0"/>
        <v>3.8067778618434618</v>
      </c>
      <c r="L10" s="3">
        <f t="shared" si="2"/>
        <v>-0.21668890916870426</v>
      </c>
      <c r="M10" s="3">
        <f t="shared" si="0"/>
        <v>-1.4230566263675728</v>
      </c>
      <c r="N10" s="3">
        <f t="shared" si="0"/>
        <v>0.82005550110908187</v>
      </c>
      <c r="O10" s="3">
        <f t="shared" si="0"/>
        <v>-1.5542941082849735</v>
      </c>
    </row>
    <row r="11" spans="1:15" x14ac:dyDescent="0.2">
      <c r="A11" s="1">
        <v>29220</v>
      </c>
      <c r="B11">
        <v>737.37</v>
      </c>
      <c r="C11">
        <v>-5402.1980438000001</v>
      </c>
      <c r="D11">
        <v>15757.0964757</v>
      </c>
      <c r="E11">
        <v>-13612.052172219999</v>
      </c>
      <c r="F11">
        <v>-10964.46674813</v>
      </c>
      <c r="G11">
        <v>3907.7588543000002</v>
      </c>
      <c r="H11">
        <v>-11455.001201540001</v>
      </c>
      <c r="I11">
        <v>1979</v>
      </c>
      <c r="J11" s="3">
        <f t="shared" si="1"/>
        <v>-0.73263057132782727</v>
      </c>
      <c r="K11" s="3">
        <f t="shared" si="0"/>
        <v>2.136932133894788</v>
      </c>
      <c r="L11" s="3">
        <f t="shared" si="2"/>
        <v>-0.35905792534141601</v>
      </c>
      <c r="M11" s="3">
        <f t="shared" si="0"/>
        <v>-1.4869694655505377</v>
      </c>
      <c r="N11" s="3">
        <f t="shared" si="0"/>
        <v>0.52995902386861415</v>
      </c>
      <c r="O11" s="3">
        <f t="shared" si="0"/>
        <v>-1.5534943381938511</v>
      </c>
    </row>
    <row r="12" spans="1:15" x14ac:dyDescent="0.2">
      <c r="A12" s="1">
        <v>29586</v>
      </c>
      <c r="B12">
        <v>788.52</v>
      </c>
      <c r="C12">
        <v>-14118.6989667</v>
      </c>
      <c r="D12">
        <v>9876.4350685000009</v>
      </c>
      <c r="E12">
        <v>-15868.64246893</v>
      </c>
      <c r="F12">
        <v>-13374.80455868</v>
      </c>
      <c r="G12">
        <v>3827.60413737</v>
      </c>
      <c r="H12">
        <v>-11954.095703610001</v>
      </c>
      <c r="I12">
        <v>1980</v>
      </c>
      <c r="J12" s="3">
        <f t="shared" si="1"/>
        <v>-1.7905314978313804</v>
      </c>
      <c r="K12" s="3">
        <f t="shared" si="0"/>
        <v>1.2525281626972051</v>
      </c>
      <c r="L12" s="3">
        <f t="shared" si="2"/>
        <v>-0.31626818726855377</v>
      </c>
      <c r="M12" s="3">
        <f t="shared" si="0"/>
        <v>-1.6961909093846699</v>
      </c>
      <c r="N12" s="3">
        <f t="shared" si="0"/>
        <v>0.48541624021838381</v>
      </c>
      <c r="O12" s="3">
        <f t="shared" si="0"/>
        <v>-1.5160168040899407</v>
      </c>
    </row>
    <row r="13" spans="1:15" x14ac:dyDescent="0.2">
      <c r="A13" s="1">
        <v>29951</v>
      </c>
      <c r="B13">
        <v>825.79</v>
      </c>
      <c r="C13">
        <v>-5653.5695843000003</v>
      </c>
      <c r="D13">
        <v>20838.079485400001</v>
      </c>
      <c r="E13">
        <v>-17235.823665659998</v>
      </c>
      <c r="F13">
        <v>-14282.513817659999</v>
      </c>
      <c r="G13">
        <v>3651.6328106199999</v>
      </c>
      <c r="H13">
        <v>-12907.45821467</v>
      </c>
      <c r="I13">
        <v>1981</v>
      </c>
      <c r="J13" s="3">
        <f t="shared" si="1"/>
        <v>-0.68462558087407221</v>
      </c>
      <c r="K13" s="3">
        <f t="shared" si="0"/>
        <v>2.523411458772812</v>
      </c>
      <c r="L13" s="3">
        <f t="shared" si="2"/>
        <v>-0.35763448915583856</v>
      </c>
      <c r="M13" s="3">
        <f t="shared" si="0"/>
        <v>-1.7295576136378494</v>
      </c>
      <c r="N13" s="3">
        <f t="shared" si="0"/>
        <v>0.44219872008864236</v>
      </c>
      <c r="O13" s="3">
        <f t="shared" si="0"/>
        <v>-1.5630436569430484</v>
      </c>
    </row>
    <row r="14" spans="1:15" x14ac:dyDescent="0.2">
      <c r="A14" s="1">
        <v>30316</v>
      </c>
      <c r="B14">
        <v>860.21</v>
      </c>
      <c r="C14">
        <v>7444.3244045000001</v>
      </c>
      <c r="D14">
        <v>33937.726182699997</v>
      </c>
      <c r="E14">
        <v>-16126.19961858</v>
      </c>
      <c r="F14">
        <v>-14580.101031280001</v>
      </c>
      <c r="G14">
        <v>2911.77965365</v>
      </c>
      <c r="H14">
        <v>-13278.981813349999</v>
      </c>
      <c r="I14">
        <v>1982</v>
      </c>
      <c r="J14" s="3">
        <f t="shared" si="1"/>
        <v>0.86540779629392817</v>
      </c>
      <c r="K14" s="3">
        <f t="shared" si="0"/>
        <v>3.9452838472814777</v>
      </c>
      <c r="L14" s="3">
        <f t="shared" si="2"/>
        <v>-0.17973501671684808</v>
      </c>
      <c r="M14" s="3">
        <f t="shared" si="0"/>
        <v>-1.6949467026981782</v>
      </c>
      <c r="N14" s="3">
        <f t="shared" si="0"/>
        <v>0.33849637340300626</v>
      </c>
      <c r="O14" s="3">
        <f t="shared" si="0"/>
        <v>-1.5436907049848292</v>
      </c>
    </row>
    <row r="15" spans="1:15" x14ac:dyDescent="0.2">
      <c r="A15" s="1">
        <v>30681</v>
      </c>
      <c r="B15">
        <v>898.27</v>
      </c>
      <c r="C15">
        <v>6006.0899976000001</v>
      </c>
      <c r="D15">
        <v>28711.313866699998</v>
      </c>
      <c r="E15">
        <v>-15134.3220014</v>
      </c>
      <c r="F15">
        <v>-14117.47084358</v>
      </c>
      <c r="G15">
        <v>6240.0474478899996</v>
      </c>
      <c r="H15">
        <v>-13810.94931564</v>
      </c>
      <c r="I15">
        <v>1983</v>
      </c>
      <c r="J15" s="3">
        <f t="shared" si="1"/>
        <v>0.66862858579269047</v>
      </c>
      <c r="K15" s="3">
        <f t="shared" si="0"/>
        <v>3.1962899647878698</v>
      </c>
      <c r="L15" s="3">
        <f t="shared" si="2"/>
        <v>-0.11320105957228892</v>
      </c>
      <c r="M15" s="3">
        <f t="shared" si="0"/>
        <v>-1.5716288914891958</v>
      </c>
      <c r="N15" s="3">
        <f t="shared" si="0"/>
        <v>0.6946739229730482</v>
      </c>
      <c r="O15" s="3">
        <f t="shared" si="0"/>
        <v>-1.5375053509123093</v>
      </c>
    </row>
    <row r="16" spans="1:15" x14ac:dyDescent="0.2">
      <c r="A16" s="1">
        <v>31047</v>
      </c>
      <c r="B16">
        <v>942</v>
      </c>
      <c r="C16">
        <v>13459.279180699999</v>
      </c>
      <c r="D16">
        <v>34693.167095299999</v>
      </c>
      <c r="E16">
        <v>-14615.10509605</v>
      </c>
      <c r="F16">
        <v>-14122.90536499</v>
      </c>
      <c r="G16">
        <v>9301.1989794599995</v>
      </c>
      <c r="H16">
        <v>-15919.98179801</v>
      </c>
      <c r="I16">
        <v>1984</v>
      </c>
      <c r="J16" s="3">
        <f t="shared" si="1"/>
        <v>1.4287982145116773</v>
      </c>
      <c r="K16" s="3">
        <f t="shared" si="0"/>
        <v>3.6829264432377919</v>
      </c>
      <c r="L16" s="3">
        <f t="shared" si="2"/>
        <v>-5.225050223566878E-2</v>
      </c>
      <c r="M16" s="3">
        <f t="shared" si="0"/>
        <v>-1.4992468540329087</v>
      </c>
      <c r="N16" s="3">
        <f t="shared" si="0"/>
        <v>0.98738842669426741</v>
      </c>
      <c r="O16" s="3">
        <f t="shared" si="0"/>
        <v>-1.6900192991518046</v>
      </c>
    </row>
    <row r="17" spans="1:15" x14ac:dyDescent="0.2">
      <c r="A17" s="1">
        <v>31412</v>
      </c>
      <c r="B17">
        <v>984.41</v>
      </c>
      <c r="C17">
        <v>26275.046399700001</v>
      </c>
      <c r="D17">
        <v>45618.815029899997</v>
      </c>
      <c r="E17">
        <v>-13908.92511108</v>
      </c>
      <c r="F17">
        <v>-14354.47099186</v>
      </c>
      <c r="G17">
        <v>9737.7456118400005</v>
      </c>
      <c r="H17">
        <v>-15172.589130959999</v>
      </c>
      <c r="I17">
        <v>1985</v>
      </c>
      <c r="J17" s="3">
        <f t="shared" si="1"/>
        <v>2.6691161609187231</v>
      </c>
      <c r="K17" s="3">
        <f t="shared" si="0"/>
        <v>4.6341275515181675</v>
      </c>
      <c r="L17" s="3">
        <f t="shared" si="2"/>
        <v>4.5260194510417462E-2</v>
      </c>
      <c r="M17" s="3">
        <f t="shared" si="0"/>
        <v>-1.4581801273717252</v>
      </c>
      <c r="N17" s="3">
        <f t="shared" si="0"/>
        <v>0.98919612883249863</v>
      </c>
      <c r="O17" s="3">
        <f t="shared" si="0"/>
        <v>-1.5412875865706361</v>
      </c>
    </row>
    <row r="18" spans="1:15" x14ac:dyDescent="0.2">
      <c r="A18" s="1">
        <v>31777</v>
      </c>
      <c r="B18">
        <v>1037.1300000000001</v>
      </c>
      <c r="C18">
        <v>42003.597960999999</v>
      </c>
      <c r="D18">
        <v>63958.222340400003</v>
      </c>
      <c r="E18">
        <v>-15306.718375320001</v>
      </c>
      <c r="F18">
        <v>-15562.70585889</v>
      </c>
      <c r="G18">
        <v>9106.4494357900003</v>
      </c>
      <c r="H18">
        <v>-15754.35543989</v>
      </c>
      <c r="I18">
        <v>1986</v>
      </c>
      <c r="J18" s="3">
        <f t="shared" si="1"/>
        <v>4.0499838941116346</v>
      </c>
      <c r="K18" s="3">
        <f t="shared" si="0"/>
        <v>6.1668471975933583</v>
      </c>
      <c r="L18" s="3">
        <f t="shared" si="2"/>
        <v>2.468229475282745E-2</v>
      </c>
      <c r="M18" s="3">
        <f t="shared" si="0"/>
        <v>-1.5005549795001591</v>
      </c>
      <c r="N18" s="3">
        <f t="shared" si="0"/>
        <v>0.87804319957864485</v>
      </c>
      <c r="O18" s="3">
        <f t="shared" si="0"/>
        <v>-1.5190338183149652</v>
      </c>
    </row>
    <row r="19" spans="1:15" x14ac:dyDescent="0.2">
      <c r="A19" s="1">
        <v>32142</v>
      </c>
      <c r="B19">
        <v>1065.1300000000001</v>
      </c>
      <c r="C19">
        <v>39985.657240100001</v>
      </c>
      <c r="D19">
        <v>65658.378795700002</v>
      </c>
      <c r="E19">
        <v>-17075.687048470001</v>
      </c>
      <c r="F19">
        <v>-16420.866332959999</v>
      </c>
      <c r="G19">
        <v>7452.7090800300002</v>
      </c>
      <c r="H19">
        <v>-16049.74358712</v>
      </c>
      <c r="I19">
        <v>1987</v>
      </c>
      <c r="J19" s="3">
        <f t="shared" si="1"/>
        <v>3.7540635640813793</v>
      </c>
      <c r="K19" s="3">
        <f t="shared" ref="K19:K29" si="3">D19/$B19/1000*100</f>
        <v>6.1643535339066586</v>
      </c>
      <c r="L19" s="3">
        <f t="shared" si="2"/>
        <v>-6.1478008835541442E-2</v>
      </c>
      <c r="M19" s="3">
        <f t="shared" ref="M19:M29" si="4">F19/$B19/1000*100</f>
        <v>-1.5416771974275438</v>
      </c>
      <c r="N19" s="3">
        <f t="shared" ref="N19:N29" si="5">G19/$B19/1000*100</f>
        <v>0.69969948081736499</v>
      </c>
      <c r="O19" s="3">
        <f t="shared" ref="O19:O29" si="6">H19/$B19/1000*100</f>
        <v>-1.5068342443758038</v>
      </c>
    </row>
    <row r="20" spans="1:15" x14ac:dyDescent="0.2">
      <c r="A20" s="1">
        <v>32508</v>
      </c>
      <c r="B20">
        <v>1123.29</v>
      </c>
      <c r="C20">
        <v>49002.067153099997</v>
      </c>
      <c r="D20">
        <v>71812.768492200004</v>
      </c>
      <c r="E20">
        <v>-18332.145943150001</v>
      </c>
      <c r="F20">
        <v>-17276.573117299999</v>
      </c>
      <c r="G20">
        <v>13995.1509078</v>
      </c>
      <c r="H20">
        <v>-18473.706303719999</v>
      </c>
      <c r="I20">
        <v>1988</v>
      </c>
      <c r="J20" s="3">
        <f t="shared" si="1"/>
        <v>4.3623701050574653</v>
      </c>
      <c r="K20" s="3">
        <f t="shared" si="3"/>
        <v>6.3930746728093375</v>
      </c>
      <c r="L20" s="3">
        <f t="shared" si="2"/>
        <v>-9.3971532360298954E-2</v>
      </c>
      <c r="M20" s="3">
        <f t="shared" si="4"/>
        <v>-1.5380331986664173</v>
      </c>
      <c r="N20" s="3">
        <f t="shared" si="5"/>
        <v>1.2459071929599659</v>
      </c>
      <c r="O20" s="3">
        <f t="shared" si="6"/>
        <v>-1.6446070296824506</v>
      </c>
    </row>
    <row r="21" spans="1:15" x14ac:dyDescent="0.2">
      <c r="A21" s="1">
        <v>32873</v>
      </c>
      <c r="B21">
        <v>1200.6600000000001</v>
      </c>
      <c r="C21">
        <v>56610.288726500003</v>
      </c>
      <c r="D21">
        <v>75751.4569262</v>
      </c>
      <c r="E21">
        <v>-17765.44689467</v>
      </c>
      <c r="F21">
        <v>-17879.077424930001</v>
      </c>
      <c r="G21">
        <v>17211.96013969</v>
      </c>
      <c r="H21">
        <v>-18587.681444710001</v>
      </c>
      <c r="I21">
        <v>1989</v>
      </c>
      <c r="J21" s="3">
        <f t="shared" si="1"/>
        <v>4.7149308485749506</v>
      </c>
      <c r="K21" s="3">
        <f t="shared" si="3"/>
        <v>6.3091513772591741</v>
      </c>
      <c r="L21" s="3">
        <f t="shared" si="2"/>
        <v>9.4640056518915626E-3</v>
      </c>
      <c r="M21" s="3">
        <f t="shared" si="4"/>
        <v>-1.4891041114828509</v>
      </c>
      <c r="N21" s="3">
        <f t="shared" si="5"/>
        <v>1.4335415637807538</v>
      </c>
      <c r="O21" s="3">
        <f t="shared" si="6"/>
        <v>-1.548121986633185</v>
      </c>
    </row>
    <row r="22" spans="1:15" x14ac:dyDescent="0.2">
      <c r="A22" s="1">
        <v>33238</v>
      </c>
      <c r="B22">
        <v>1306.68</v>
      </c>
      <c r="C22">
        <v>41250.065701</v>
      </c>
      <c r="D22">
        <v>62164.932023699999</v>
      </c>
      <c r="E22">
        <v>-22128.987181910001</v>
      </c>
      <c r="F22">
        <v>-20395.824279209999</v>
      </c>
      <c r="G22">
        <v>19969.530582920001</v>
      </c>
      <c r="H22">
        <v>-18755.409723749999</v>
      </c>
      <c r="I22">
        <v>1990</v>
      </c>
      <c r="J22" s="3">
        <f t="shared" si="1"/>
        <v>3.1568605703768329</v>
      </c>
      <c r="K22" s="3">
        <f t="shared" si="3"/>
        <v>4.7574717623059968</v>
      </c>
      <c r="L22" s="3">
        <f t="shared" si="2"/>
        <v>-0.13263866460801432</v>
      </c>
      <c r="M22" s="3">
        <f t="shared" si="4"/>
        <v>-1.5608889918886031</v>
      </c>
      <c r="N22" s="3">
        <f t="shared" si="5"/>
        <v>1.5282648072152325</v>
      </c>
      <c r="O22" s="3">
        <f t="shared" si="6"/>
        <v>-1.43534834265084</v>
      </c>
    </row>
    <row r="23" spans="1:15" x14ac:dyDescent="0.2">
      <c r="A23" s="1">
        <v>33603</v>
      </c>
      <c r="B23">
        <v>1585.8</v>
      </c>
      <c r="C23">
        <v>-22550.794291900002</v>
      </c>
      <c r="D23">
        <v>18038.844378099999</v>
      </c>
      <c r="E23">
        <v>-25781.038229289999</v>
      </c>
      <c r="F23">
        <v>-21644.365819120001</v>
      </c>
      <c r="G23">
        <v>15347.700976059999</v>
      </c>
      <c r="H23">
        <v>-30156.30141679</v>
      </c>
      <c r="I23">
        <v>1991</v>
      </c>
      <c r="J23" s="3">
        <f t="shared" si="1"/>
        <v>-1.4220452952389961</v>
      </c>
      <c r="K23" s="3">
        <f t="shared" si="3"/>
        <v>1.1375232928553409</v>
      </c>
      <c r="L23" s="3">
        <f t="shared" si="2"/>
        <v>-0.26085713268823296</v>
      </c>
      <c r="M23" s="3">
        <f t="shared" si="4"/>
        <v>-1.3648862289771726</v>
      </c>
      <c r="N23" s="3">
        <f t="shared" si="5"/>
        <v>0.96782071989279861</v>
      </c>
      <c r="O23" s="3">
        <f t="shared" si="6"/>
        <v>-1.901645946322992</v>
      </c>
    </row>
    <row r="24" spans="1:15" x14ac:dyDescent="0.2">
      <c r="A24" s="1">
        <v>33969</v>
      </c>
      <c r="B24">
        <v>1702.06</v>
      </c>
      <c r="C24">
        <v>-20141.986777999999</v>
      </c>
      <c r="D24">
        <v>24230.9566782</v>
      </c>
      <c r="E24">
        <v>-32768.331603459999</v>
      </c>
      <c r="F24">
        <v>-24749.77068559</v>
      </c>
      <c r="G24">
        <v>14708.546755089999</v>
      </c>
      <c r="H24">
        <v>-26313.15860785</v>
      </c>
      <c r="I24">
        <v>1992</v>
      </c>
      <c r="J24" s="3">
        <f t="shared" si="1"/>
        <v>-1.1833887629108257</v>
      </c>
      <c r="K24" s="3">
        <f t="shared" si="3"/>
        <v>1.4236252939496845</v>
      </c>
      <c r="L24" s="3">
        <f t="shared" si="2"/>
        <v>-0.47110918051478795</v>
      </c>
      <c r="M24" s="3">
        <f t="shared" si="4"/>
        <v>-1.4541068285248464</v>
      </c>
      <c r="N24" s="3">
        <f t="shared" si="5"/>
        <v>0.86416147228006068</v>
      </c>
      <c r="O24" s="3">
        <f t="shared" si="6"/>
        <v>-1.5459595201021117</v>
      </c>
    </row>
    <row r="25" spans="1:15" x14ac:dyDescent="0.2">
      <c r="A25" s="1">
        <v>34334</v>
      </c>
      <c r="B25">
        <v>1750.89</v>
      </c>
      <c r="C25">
        <v>-18149.219512899999</v>
      </c>
      <c r="D25">
        <v>36206.9898713</v>
      </c>
      <c r="E25">
        <v>-35331.896432720001</v>
      </c>
      <c r="F25">
        <v>-26443.432711429999</v>
      </c>
      <c r="G25">
        <v>9869.5193345000007</v>
      </c>
      <c r="H25">
        <v>-28893.83228604</v>
      </c>
      <c r="I25">
        <v>1993</v>
      </c>
      <c r="J25" s="3">
        <f t="shared" si="1"/>
        <v>-1.0365710874412442</v>
      </c>
      <c r="K25" s="3">
        <f t="shared" si="3"/>
        <v>2.0679191651845632</v>
      </c>
      <c r="L25" s="3">
        <f t="shared" si="2"/>
        <v>-0.50765403430769507</v>
      </c>
      <c r="M25" s="3">
        <f t="shared" si="4"/>
        <v>-1.5102852098892563</v>
      </c>
      <c r="N25" s="3">
        <f t="shared" si="5"/>
        <v>0.56368585887748524</v>
      </c>
      <c r="O25" s="3">
        <f t="shared" si="6"/>
        <v>-1.6502368673097683</v>
      </c>
    </row>
    <row r="26" spans="1:15" x14ac:dyDescent="0.2">
      <c r="A26" s="1">
        <v>34699</v>
      </c>
      <c r="B26">
        <v>1829.55</v>
      </c>
      <c r="C26">
        <v>-27440.265258200001</v>
      </c>
      <c r="D26">
        <v>44157.0617078</v>
      </c>
      <c r="E26">
        <v>-41162.20428156</v>
      </c>
      <c r="F26">
        <v>-30683.398863909999</v>
      </c>
      <c r="G26">
        <v>931.45518781999999</v>
      </c>
      <c r="H26">
        <v>-31366.577872310001</v>
      </c>
      <c r="I26">
        <v>1994</v>
      </c>
      <c r="J26" s="3">
        <f t="shared" si="1"/>
        <v>-1.4998368592386107</v>
      </c>
      <c r="K26" s="3">
        <f t="shared" si="3"/>
        <v>2.4135476870159329</v>
      </c>
      <c r="L26" s="3">
        <f t="shared" si="2"/>
        <v>-0.57275315884507128</v>
      </c>
      <c r="M26" s="3">
        <f t="shared" si="4"/>
        <v>-1.6771008643606349</v>
      </c>
      <c r="N26" s="3">
        <f t="shared" si="5"/>
        <v>5.0911709864174245E-2</v>
      </c>
      <c r="O26" s="3">
        <f t="shared" si="6"/>
        <v>-1.7144422329157445</v>
      </c>
    </row>
    <row r="27" spans="1:15" x14ac:dyDescent="0.2">
      <c r="A27" s="1">
        <v>35064</v>
      </c>
      <c r="B27">
        <v>1894.61</v>
      </c>
      <c r="C27">
        <v>-23600.546570999999</v>
      </c>
      <c r="D27">
        <v>50754.757826599998</v>
      </c>
      <c r="E27">
        <v>-43044.930796640001</v>
      </c>
      <c r="F27">
        <v>-30892.658359879999</v>
      </c>
      <c r="G27">
        <v>-1778.7977482700001</v>
      </c>
      <c r="H27">
        <v>-29531.575852710001</v>
      </c>
      <c r="I27">
        <v>1995</v>
      </c>
      <c r="J27" s="3">
        <f t="shared" si="1"/>
        <v>-1.2456677928966911</v>
      </c>
      <c r="K27" s="3">
        <f t="shared" si="3"/>
        <v>2.6789026673880114</v>
      </c>
      <c r="L27" s="3">
        <f t="shared" si="2"/>
        <v>-0.64141287319078888</v>
      </c>
      <c r="M27" s="3">
        <f t="shared" si="4"/>
        <v>-1.6305550144821361</v>
      </c>
      <c r="N27" s="3">
        <f t="shared" si="5"/>
        <v>-9.3887277501438299E-2</v>
      </c>
      <c r="O27" s="3">
        <f t="shared" si="6"/>
        <v>-1.5587152951113949</v>
      </c>
    </row>
    <row r="28" spans="1:15" x14ac:dyDescent="0.2">
      <c r="A28" s="1">
        <v>35430</v>
      </c>
      <c r="B28">
        <v>1921.38</v>
      </c>
      <c r="C28">
        <v>-12990.977232200001</v>
      </c>
      <c r="D28">
        <v>58811.857881299999</v>
      </c>
      <c r="E28">
        <v>-45078.12028653</v>
      </c>
      <c r="F28">
        <v>-31889.217876809998</v>
      </c>
      <c r="G28">
        <v>1489.65554266</v>
      </c>
      <c r="H28">
        <v>-28214.370369609998</v>
      </c>
      <c r="I28">
        <v>1996</v>
      </c>
      <c r="J28" s="3">
        <f t="shared" si="1"/>
        <v>-0.67612743091944338</v>
      </c>
      <c r="K28" s="3">
        <f t="shared" si="3"/>
        <v>3.0609175634856194</v>
      </c>
      <c r="L28" s="3">
        <f t="shared" si="2"/>
        <v>-0.68642862992848896</v>
      </c>
      <c r="M28" s="3">
        <f t="shared" si="4"/>
        <v>-1.659703852273366</v>
      </c>
      <c r="N28" s="3">
        <f t="shared" si="5"/>
        <v>7.7530501132519344E-2</v>
      </c>
      <c r="O28" s="3">
        <f t="shared" si="6"/>
        <v>-1.4684430133346864</v>
      </c>
    </row>
    <row r="29" spans="1:15" x14ac:dyDescent="0.2">
      <c r="A29" s="1">
        <v>35795</v>
      </c>
      <c r="B29">
        <v>1961.15</v>
      </c>
      <c r="C29">
        <v>-9996.1755367000005</v>
      </c>
      <c r="D29">
        <v>67147.426923599996</v>
      </c>
      <c r="E29">
        <v>-46017.991850010003</v>
      </c>
      <c r="F29">
        <v>-32055.245599059999</v>
      </c>
      <c r="G29">
        <v>-2273.5498484</v>
      </c>
      <c r="H29">
        <v>-28852.060761929999</v>
      </c>
      <c r="I29">
        <v>1997</v>
      </c>
      <c r="J29" s="3">
        <f t="shared" si="1"/>
        <v>-0.50970989147693957</v>
      </c>
      <c r="K29" s="3">
        <f t="shared" si="3"/>
        <v>3.4238802194426738</v>
      </c>
      <c r="L29" s="3">
        <f t="shared" si="2"/>
        <v>-0.71196727690130801</v>
      </c>
      <c r="M29" s="3">
        <f t="shared" si="4"/>
        <v>-1.6345126889355732</v>
      </c>
      <c r="N29" s="3">
        <f t="shared" si="5"/>
        <v>-0.11592942143130304</v>
      </c>
      <c r="O29" s="3">
        <f t="shared" si="6"/>
        <v>-1.4711807236534686</v>
      </c>
    </row>
    <row r="30" spans="1:15" x14ac:dyDescent="0.2">
      <c r="A30" s="1">
        <v>36160</v>
      </c>
      <c r="B30">
        <v>2014.42</v>
      </c>
      <c r="C30">
        <v>-14314.0891591</v>
      </c>
      <c r="D30">
        <v>71627.230383000002</v>
      </c>
      <c r="E30">
        <v>-46875.529059269997</v>
      </c>
      <c r="F30">
        <v>-32444.454272610001</v>
      </c>
      <c r="G30">
        <v>-9791.5171563999993</v>
      </c>
      <c r="H30">
        <v>-29274.273326409999</v>
      </c>
      <c r="I30">
        <v>1998</v>
      </c>
      <c r="J30" s="3">
        <f t="shared" ref="J30" si="7">C30/$B30/1000*100</f>
        <v>-0.71058116773562607</v>
      </c>
      <c r="K30" s="3">
        <f t="shared" ref="K30" si="8">D30/$B30/1000*100</f>
        <v>3.5557247437475801</v>
      </c>
      <c r="L30" s="3">
        <f t="shared" ref="L30" si="9">(E30-F30)/$B30/1000*100</f>
        <v>-0.71638857768787023</v>
      </c>
      <c r="M30" s="3">
        <f t="shared" ref="M30" si="10">F30/$B30/1000*100</f>
        <v>-1.610610213987649</v>
      </c>
      <c r="N30" s="3">
        <f t="shared" ref="N30" si="11">G30/$B30/1000*100</f>
        <v>-0.48607128386334525</v>
      </c>
      <c r="O30" s="3">
        <f t="shared" ref="O30" si="12">H30/$B30/1000*100</f>
        <v>-1.4532358359433484</v>
      </c>
    </row>
    <row r="31" spans="1:15" x14ac:dyDescent="0.2">
      <c r="A31" s="1">
        <v>36525</v>
      </c>
      <c r="B31">
        <v>2059.48</v>
      </c>
      <c r="C31">
        <v>-29293.261999999999</v>
      </c>
      <c r="D31">
        <v>67943.595000000001</v>
      </c>
      <c r="E31">
        <v>-56555.173000000003</v>
      </c>
      <c r="F31">
        <v>-35435.608</v>
      </c>
      <c r="G31">
        <v>-13980.138999999999</v>
      </c>
      <c r="H31">
        <v>-26701.544999999998</v>
      </c>
      <c r="I31">
        <v>1999</v>
      </c>
      <c r="J31" s="3">
        <f t="shared" ref="J31:J41" si="13">C31/$B31/1000*100</f>
        <v>-1.422362052556956</v>
      </c>
      <c r="K31" s="3">
        <f t="shared" ref="K31:K41" si="14">D31/$B31/1000*100</f>
        <v>3.2990655408161285</v>
      </c>
      <c r="L31" s="3">
        <f t="shared" ref="L31:L41" si="15">(E31-F31)/$B31/1000*100</f>
        <v>-1.0254804610872648</v>
      </c>
      <c r="M31" s="3">
        <f t="shared" ref="M31:M41" si="16">F31/$B31/1000*100</f>
        <v>-1.7206094742362148</v>
      </c>
      <c r="N31" s="3">
        <f t="shared" ref="N31:N41" si="17">G31/$B31/1000*100</f>
        <v>-0.67881887660962958</v>
      </c>
      <c r="O31" s="3">
        <f t="shared" ref="O31:O41" si="18">H31/$B31/1000*100</f>
        <v>-1.296518781439975</v>
      </c>
    </row>
    <row r="32" spans="1:15" x14ac:dyDescent="0.2">
      <c r="A32" s="1">
        <v>36891</v>
      </c>
      <c r="B32">
        <v>2109.09</v>
      </c>
      <c r="C32">
        <v>-37146.523000000001</v>
      </c>
      <c r="D32">
        <v>63944.137999999999</v>
      </c>
      <c r="E32">
        <v>-60370.300999999999</v>
      </c>
      <c r="F32">
        <v>-37187.881999999998</v>
      </c>
      <c r="G32">
        <v>-10721.847</v>
      </c>
      <c r="H32">
        <v>-29998.512999999999</v>
      </c>
      <c r="I32">
        <v>2000</v>
      </c>
      <c r="J32" s="3">
        <f t="shared" si="13"/>
        <v>-1.7612583151975496</v>
      </c>
      <c r="K32" s="3">
        <f t="shared" si="14"/>
        <v>3.0318354361359634</v>
      </c>
      <c r="L32" s="3">
        <f t="shared" si="15"/>
        <v>-1.099166891882281</v>
      </c>
      <c r="M32" s="3">
        <f t="shared" si="16"/>
        <v>-1.7632193031117682</v>
      </c>
      <c r="N32" s="3">
        <f t="shared" si="17"/>
        <v>-0.50836365446709242</v>
      </c>
      <c r="O32" s="3">
        <f t="shared" si="18"/>
        <v>-1.4223439018723714</v>
      </c>
    </row>
    <row r="33" spans="1:15" x14ac:dyDescent="0.2">
      <c r="A33" s="1">
        <v>37256</v>
      </c>
      <c r="B33">
        <v>2172.54</v>
      </c>
      <c r="C33">
        <v>-7995.5680000000002</v>
      </c>
      <c r="D33">
        <v>101188.019</v>
      </c>
      <c r="E33">
        <v>-65853.850000000006</v>
      </c>
      <c r="F33">
        <v>-37820.864000000001</v>
      </c>
      <c r="G33">
        <v>-14174.255999999999</v>
      </c>
      <c r="H33">
        <v>-29155.481</v>
      </c>
      <c r="I33">
        <v>2001</v>
      </c>
      <c r="J33" s="3">
        <f t="shared" si="13"/>
        <v>-0.36802857484787399</v>
      </c>
      <c r="K33" s="3">
        <f t="shared" si="14"/>
        <v>4.6575906082281566</v>
      </c>
      <c r="L33" s="3">
        <f t="shared" si="15"/>
        <v>-1.2903323298995648</v>
      </c>
      <c r="M33" s="3">
        <f t="shared" si="16"/>
        <v>-1.740859270715384</v>
      </c>
      <c r="N33" s="3">
        <f t="shared" si="17"/>
        <v>-0.65242784942969978</v>
      </c>
      <c r="O33" s="3">
        <f t="shared" si="18"/>
        <v>-1.3419997330313826</v>
      </c>
    </row>
    <row r="34" spans="1:15" x14ac:dyDescent="0.2">
      <c r="A34" s="1">
        <v>37621</v>
      </c>
      <c r="B34">
        <v>2198.12</v>
      </c>
      <c r="C34">
        <v>41556.675000000003</v>
      </c>
      <c r="D34">
        <v>142005.209</v>
      </c>
      <c r="E34">
        <v>-48571.538</v>
      </c>
      <c r="F34">
        <v>-35553.661</v>
      </c>
      <c r="G34">
        <v>-22463.57</v>
      </c>
      <c r="H34">
        <v>-29413.425999999999</v>
      </c>
      <c r="I34">
        <v>2002</v>
      </c>
      <c r="J34" s="3">
        <f t="shared" si="13"/>
        <v>1.8905553381980971</v>
      </c>
      <c r="K34" s="3">
        <f t="shared" si="14"/>
        <v>6.4603028497079311</v>
      </c>
      <c r="L34" s="3">
        <f t="shared" si="15"/>
        <v>-0.59222776736483906</v>
      </c>
      <c r="M34" s="3">
        <f t="shared" si="16"/>
        <v>-1.6174576911178642</v>
      </c>
      <c r="N34" s="3">
        <f t="shared" si="17"/>
        <v>-1.0219446618019035</v>
      </c>
      <c r="O34" s="3">
        <f t="shared" si="18"/>
        <v>-1.3381173912252289</v>
      </c>
    </row>
    <row r="35" spans="1:15" x14ac:dyDescent="0.2">
      <c r="A35" s="1">
        <v>37986</v>
      </c>
      <c r="B35">
        <v>2211.5700000000002</v>
      </c>
      <c r="C35">
        <v>31267.527999999998</v>
      </c>
      <c r="D35">
        <v>129941.981</v>
      </c>
      <c r="E35">
        <v>-46465.415999999997</v>
      </c>
      <c r="F35">
        <v>-37331.658000000003</v>
      </c>
      <c r="G35">
        <v>-21161.945</v>
      </c>
      <c r="H35">
        <v>-31047.092000000001</v>
      </c>
      <c r="I35">
        <v>2003</v>
      </c>
      <c r="J35" s="3">
        <f t="shared" si="13"/>
        <v>1.4138158864517061</v>
      </c>
      <c r="K35" s="3">
        <f t="shared" si="14"/>
        <v>5.8755536112354569</v>
      </c>
      <c r="L35" s="3">
        <f t="shared" si="15"/>
        <v>-0.41299881984291675</v>
      </c>
      <c r="M35" s="3">
        <f t="shared" si="16"/>
        <v>-1.6880161152484432</v>
      </c>
      <c r="N35" s="3">
        <f t="shared" si="17"/>
        <v>-0.95687430196647627</v>
      </c>
      <c r="O35" s="3">
        <f t="shared" si="18"/>
        <v>-1.4038484877259141</v>
      </c>
    </row>
    <row r="36" spans="1:15" x14ac:dyDescent="0.2">
      <c r="A36" s="1">
        <v>38352</v>
      </c>
      <c r="B36">
        <v>2262.52</v>
      </c>
      <c r="C36">
        <v>102270.25199999999</v>
      </c>
      <c r="D36">
        <v>152851.20300000001</v>
      </c>
      <c r="E36">
        <v>-35201.114999999998</v>
      </c>
      <c r="F36">
        <v>-35301.883999999998</v>
      </c>
      <c r="G36">
        <v>14576.968000000001</v>
      </c>
      <c r="H36">
        <v>-29956.804</v>
      </c>
      <c r="I36">
        <v>2004</v>
      </c>
      <c r="J36" s="3">
        <f t="shared" si="13"/>
        <v>4.5201921750967946</v>
      </c>
      <c r="K36" s="3">
        <f t="shared" si="14"/>
        <v>6.7557945565122086</v>
      </c>
      <c r="L36" s="3">
        <f t="shared" si="15"/>
        <v>4.4538390820854732E-3</v>
      </c>
      <c r="M36" s="3">
        <f t="shared" si="16"/>
        <v>-1.5602904725704083</v>
      </c>
      <c r="N36" s="3">
        <f t="shared" si="17"/>
        <v>0.64428018315860192</v>
      </c>
      <c r="O36" s="3">
        <f t="shared" si="18"/>
        <v>-1.324045931085692</v>
      </c>
    </row>
    <row r="37" spans="1:15" x14ac:dyDescent="0.2">
      <c r="A37" s="1">
        <v>38717</v>
      </c>
      <c r="B37">
        <v>2288.31</v>
      </c>
      <c r="C37">
        <v>106941.928</v>
      </c>
      <c r="D37">
        <v>156563.027</v>
      </c>
      <c r="E37">
        <v>-37580.438999999998</v>
      </c>
      <c r="F37">
        <v>-36317.273999999998</v>
      </c>
      <c r="G37">
        <v>19299.875</v>
      </c>
      <c r="H37">
        <v>-31340.535</v>
      </c>
      <c r="I37">
        <v>2005</v>
      </c>
      <c r="J37" s="3">
        <f t="shared" si="13"/>
        <v>4.6734021177200642</v>
      </c>
      <c r="K37" s="3">
        <f t="shared" si="14"/>
        <v>6.8418626409883281</v>
      </c>
      <c r="L37" s="3">
        <f t="shared" si="15"/>
        <v>-5.5200781362665062E-2</v>
      </c>
      <c r="M37" s="3">
        <f t="shared" si="16"/>
        <v>-1.5870784115788505</v>
      </c>
      <c r="N37" s="3">
        <f t="shared" si="17"/>
        <v>0.84341173180207241</v>
      </c>
      <c r="O37" s="3">
        <f t="shared" si="18"/>
        <v>-1.3695930621288199</v>
      </c>
    </row>
    <row r="38" spans="1:15" x14ac:dyDescent="0.2">
      <c r="A38" s="1">
        <v>39082</v>
      </c>
      <c r="B38">
        <v>2385.08</v>
      </c>
      <c r="C38">
        <v>137673.93100000001</v>
      </c>
      <c r="D38">
        <v>160965.196</v>
      </c>
      <c r="E38">
        <v>-31776.909</v>
      </c>
      <c r="F38">
        <v>-32770.898999999998</v>
      </c>
      <c r="G38">
        <v>40499.218000000001</v>
      </c>
      <c r="H38">
        <v>-32013.574000000001</v>
      </c>
      <c r="I38">
        <v>2006</v>
      </c>
      <c r="J38" s="3">
        <f t="shared" si="13"/>
        <v>5.7722982457611494</v>
      </c>
      <c r="K38" s="3">
        <f t="shared" si="14"/>
        <v>6.748838445670585</v>
      </c>
      <c r="L38" s="3">
        <f t="shared" si="15"/>
        <v>4.1675331645060036E-2</v>
      </c>
      <c r="M38" s="3">
        <f t="shared" si="16"/>
        <v>-1.3739957988830562</v>
      </c>
      <c r="N38" s="3">
        <f t="shared" si="17"/>
        <v>1.6980234625253661</v>
      </c>
      <c r="O38" s="3">
        <f t="shared" si="18"/>
        <v>-1.3422431951968068</v>
      </c>
    </row>
    <row r="39" spans="1:15" x14ac:dyDescent="0.2">
      <c r="A39" s="1">
        <v>39447</v>
      </c>
      <c r="B39">
        <v>2499.5500000000002</v>
      </c>
      <c r="C39">
        <v>171493.196</v>
      </c>
      <c r="D39">
        <v>201728.03700000001</v>
      </c>
      <c r="E39">
        <v>-32465.362000000001</v>
      </c>
      <c r="F39">
        <v>-34323.733999999997</v>
      </c>
      <c r="G39">
        <v>35620.421000000002</v>
      </c>
      <c r="H39">
        <v>-33389.9</v>
      </c>
      <c r="I39">
        <v>2007</v>
      </c>
      <c r="J39" s="3">
        <f t="shared" si="13"/>
        <v>6.8609628133063953</v>
      </c>
      <c r="K39" s="3">
        <f t="shared" si="14"/>
        <v>8.0705741833530027</v>
      </c>
      <c r="L39" s="3">
        <f t="shared" si="15"/>
        <v>7.4348262687283534E-2</v>
      </c>
      <c r="M39" s="3">
        <f t="shared" si="16"/>
        <v>-1.3731965353763675</v>
      </c>
      <c r="N39" s="3">
        <f t="shared" si="17"/>
        <v>1.4250733532035769</v>
      </c>
      <c r="O39" s="3">
        <f t="shared" si="18"/>
        <v>-1.3358364505611009</v>
      </c>
    </row>
    <row r="40" spans="1:15" x14ac:dyDescent="0.2">
      <c r="A40" s="1">
        <v>39813</v>
      </c>
      <c r="B40">
        <v>2546.4899999999998</v>
      </c>
      <c r="C40">
        <v>144954.03</v>
      </c>
      <c r="D40">
        <v>184159.91099999999</v>
      </c>
      <c r="E40">
        <v>-29122.191999999999</v>
      </c>
      <c r="F40">
        <v>-34717.546000000002</v>
      </c>
      <c r="G40">
        <v>24063.492999999999</v>
      </c>
      <c r="H40">
        <v>-34147.182000000001</v>
      </c>
      <c r="I40">
        <v>2008</v>
      </c>
      <c r="J40" s="3">
        <f t="shared" si="13"/>
        <v>5.6923070579503561</v>
      </c>
      <c r="K40" s="3">
        <f t="shared" si="14"/>
        <v>7.2319118080180962</v>
      </c>
      <c r="L40" s="3">
        <f t="shared" si="15"/>
        <v>0.21972809632081822</v>
      </c>
      <c r="M40" s="3">
        <f t="shared" si="16"/>
        <v>-1.36334900195956</v>
      </c>
      <c r="N40" s="3">
        <f t="shared" si="17"/>
        <v>0.94496711159281988</v>
      </c>
      <c r="O40" s="3">
        <f t="shared" si="18"/>
        <v>-1.3409509560218185</v>
      </c>
    </row>
    <row r="41" spans="1:15" x14ac:dyDescent="0.2">
      <c r="A41" s="1">
        <v>40178</v>
      </c>
      <c r="B41">
        <v>2445.73</v>
      </c>
      <c r="C41">
        <v>142744.394</v>
      </c>
      <c r="D41">
        <v>140626.158</v>
      </c>
      <c r="E41">
        <v>-17642.256000000001</v>
      </c>
      <c r="F41">
        <v>-33341.377999999997</v>
      </c>
      <c r="G41">
        <v>54524.144999999997</v>
      </c>
      <c r="H41">
        <v>-34763.652999999998</v>
      </c>
      <c r="I41">
        <v>2009</v>
      </c>
      <c r="J41" s="3">
        <f t="shared" si="13"/>
        <v>5.8364739362071854</v>
      </c>
      <c r="K41" s="3">
        <f t="shared" si="14"/>
        <v>5.7498643758714172</v>
      </c>
      <c r="L41" s="3">
        <f t="shared" si="15"/>
        <v>0.64189922845121894</v>
      </c>
      <c r="M41" s="3">
        <f t="shared" si="16"/>
        <v>-1.3632485188471333</v>
      </c>
      <c r="N41" s="3">
        <f t="shared" si="17"/>
        <v>2.2293607634530388</v>
      </c>
      <c r="O41" s="3">
        <f t="shared" si="18"/>
        <v>-1.4214019127213551</v>
      </c>
    </row>
    <row r="42" spans="1:15" x14ac:dyDescent="0.2">
      <c r="A42" s="1">
        <v>40543</v>
      </c>
      <c r="B42">
        <v>2564.4</v>
      </c>
      <c r="C42">
        <v>147298.45499999999</v>
      </c>
      <c r="D42">
        <v>160828.674</v>
      </c>
      <c r="E42">
        <v>-25254.812000000002</v>
      </c>
      <c r="F42">
        <v>-32774.978999999999</v>
      </c>
      <c r="G42">
        <v>51306.12</v>
      </c>
      <c r="H42">
        <v>-39581.527000000002</v>
      </c>
      <c r="I42">
        <v>2010</v>
      </c>
      <c r="J42" s="3">
        <f t="shared" ref="J42:J50" si="19">C42/$B42/1000*100</f>
        <v>5.7439734440804866</v>
      </c>
      <c r="K42" s="3">
        <f t="shared" ref="K42:K50" si="20">D42/$B42/1000*100</f>
        <v>6.2715907814693495</v>
      </c>
      <c r="L42" s="3">
        <f t="shared" ref="L42:L50" si="21">(E42-F42)/$B42/1000*100</f>
        <v>0.2932524957104975</v>
      </c>
      <c r="M42" s="3">
        <f t="shared" ref="M42:M50" si="22">F42/$B42/1000*100</f>
        <v>-1.2780759241927935</v>
      </c>
      <c r="N42" s="3">
        <f t="shared" ref="N42:N50" si="23">G42/$B42/1000*100</f>
        <v>2.0007065980346281</v>
      </c>
      <c r="O42" s="3">
        <f t="shared" ref="O42:O50" si="24">H42/$B42/1000*100</f>
        <v>-1.5435005069411949</v>
      </c>
    </row>
    <row r="43" spans="1:15" x14ac:dyDescent="0.2">
      <c r="A43" s="1">
        <v>40908</v>
      </c>
      <c r="B43">
        <v>2693.56</v>
      </c>
      <c r="C43">
        <v>167340.31700000001</v>
      </c>
      <c r="D43">
        <v>162970.05100000001</v>
      </c>
      <c r="E43">
        <v>-29929.79</v>
      </c>
      <c r="F43">
        <v>-33755.459000000003</v>
      </c>
      <c r="G43">
        <v>69087.032999999996</v>
      </c>
      <c r="H43">
        <v>-34786.976999999999</v>
      </c>
      <c r="I43">
        <v>2011</v>
      </c>
      <c r="J43" s="3">
        <f t="shared" si="19"/>
        <v>6.2126077384576543</v>
      </c>
      <c r="K43" s="3">
        <f t="shared" si="20"/>
        <v>6.0503590415658088</v>
      </c>
      <c r="L43" s="3">
        <f t="shared" si="21"/>
        <v>0.14203021280387301</v>
      </c>
      <c r="M43" s="3">
        <f t="shared" si="22"/>
        <v>-1.2531912784567636</v>
      </c>
      <c r="N43" s="3">
        <f t="shared" si="23"/>
        <v>2.5648967537385468</v>
      </c>
      <c r="O43" s="3">
        <f t="shared" si="24"/>
        <v>-1.2914869911938105</v>
      </c>
    </row>
    <row r="44" spans="1:15" x14ac:dyDescent="0.2">
      <c r="A44" s="1">
        <v>41274</v>
      </c>
      <c r="B44">
        <v>2745.31</v>
      </c>
      <c r="C44">
        <v>195712.20800000001</v>
      </c>
      <c r="D44">
        <v>199531.11799999999</v>
      </c>
      <c r="E44">
        <v>-30773.593000000001</v>
      </c>
      <c r="F44">
        <v>-35422.012000000002</v>
      </c>
      <c r="G44">
        <v>65657.569000000003</v>
      </c>
      <c r="H44">
        <v>-38702.885999999999</v>
      </c>
      <c r="I44">
        <v>2012</v>
      </c>
      <c r="J44" s="3">
        <f t="shared" si="19"/>
        <v>7.1289656905777488</v>
      </c>
      <c r="K44" s="3">
        <f t="shared" si="20"/>
        <v>7.268072385267967</v>
      </c>
      <c r="L44" s="3">
        <f t="shared" si="21"/>
        <v>0.16932218947951239</v>
      </c>
      <c r="M44" s="3">
        <f t="shared" si="22"/>
        <v>-1.2902736667261621</v>
      </c>
      <c r="N44" s="3">
        <f t="shared" si="23"/>
        <v>2.3916267743897777</v>
      </c>
      <c r="O44" s="3">
        <f t="shared" si="24"/>
        <v>-1.409781991833345</v>
      </c>
    </row>
    <row r="45" spans="1:15" x14ac:dyDescent="0.2">
      <c r="A45" s="1">
        <v>41639</v>
      </c>
      <c r="B45">
        <v>2811.35</v>
      </c>
      <c r="C45">
        <v>184351.89499999999</v>
      </c>
      <c r="D45">
        <v>203801.80300000001</v>
      </c>
      <c r="E45">
        <v>-39320.89</v>
      </c>
      <c r="F45">
        <v>-37712.946000000004</v>
      </c>
      <c r="G45">
        <v>63284.103000000003</v>
      </c>
      <c r="H45">
        <v>-43413.120999999999</v>
      </c>
      <c r="I45">
        <v>2013</v>
      </c>
      <c r="J45" s="3">
        <f t="shared" si="19"/>
        <v>6.5574152986999117</v>
      </c>
      <c r="K45" s="3">
        <f t="shared" si="20"/>
        <v>7.2492504668575615</v>
      </c>
      <c r="L45" s="3">
        <f t="shared" si="21"/>
        <v>-5.7194728511213329E-2</v>
      </c>
      <c r="M45" s="3">
        <f t="shared" si="22"/>
        <v>-1.341453251996372</v>
      </c>
      <c r="N45" s="3">
        <f t="shared" si="23"/>
        <v>2.2510218578263115</v>
      </c>
      <c r="O45" s="3">
        <f t="shared" si="24"/>
        <v>-1.5442090454763726</v>
      </c>
    </row>
    <row r="46" spans="1:15" x14ac:dyDescent="0.2">
      <c r="A46" s="1">
        <v>42004</v>
      </c>
      <c r="B46">
        <v>2927.43</v>
      </c>
      <c r="C46">
        <v>210906.04</v>
      </c>
      <c r="D46">
        <v>219629.027</v>
      </c>
      <c r="E46">
        <v>-25303.120999999999</v>
      </c>
      <c r="F46">
        <v>-37652.538</v>
      </c>
      <c r="G46">
        <v>57751.637000000002</v>
      </c>
      <c r="H46">
        <v>-41171.504000000001</v>
      </c>
      <c r="I46">
        <v>2014</v>
      </c>
      <c r="J46" s="3">
        <f t="shared" si="19"/>
        <v>7.2044776476294912</v>
      </c>
      <c r="K46" s="3">
        <f t="shared" si="20"/>
        <v>7.5024518775854592</v>
      </c>
      <c r="L46" s="3">
        <f t="shared" si="21"/>
        <v>0.42185182907874835</v>
      </c>
      <c r="M46" s="3">
        <f t="shared" si="22"/>
        <v>-1.2861977229173713</v>
      </c>
      <c r="N46" s="3">
        <f t="shared" si="23"/>
        <v>1.9727760185555252</v>
      </c>
      <c r="O46" s="3">
        <f t="shared" si="24"/>
        <v>-1.4064043888325255</v>
      </c>
    </row>
    <row r="47" spans="1:15" x14ac:dyDescent="0.2">
      <c r="A47" s="1">
        <v>42369</v>
      </c>
      <c r="B47">
        <v>3030.07</v>
      </c>
      <c r="C47">
        <v>260285.88399999999</v>
      </c>
      <c r="D47">
        <v>248393.73199999999</v>
      </c>
      <c r="E47">
        <v>-18516.144</v>
      </c>
      <c r="F47">
        <v>-36595.336000000003</v>
      </c>
      <c r="G47">
        <v>69262.2</v>
      </c>
      <c r="H47">
        <v>-38853.906000000003</v>
      </c>
      <c r="I47">
        <v>2015</v>
      </c>
      <c r="J47" s="3">
        <f t="shared" si="19"/>
        <v>8.5900947502862959</v>
      </c>
      <c r="K47" s="3">
        <f t="shared" si="20"/>
        <v>8.197623553251244</v>
      </c>
      <c r="L47" s="3">
        <f t="shared" si="21"/>
        <v>0.59665921909394848</v>
      </c>
      <c r="M47" s="3">
        <f t="shared" si="22"/>
        <v>-1.2077389631262643</v>
      </c>
      <c r="N47" s="3">
        <f t="shared" si="23"/>
        <v>2.2858283802024375</v>
      </c>
      <c r="O47" s="3">
        <f t="shared" si="24"/>
        <v>-1.2822775051401454</v>
      </c>
    </row>
    <row r="48" spans="1:15" x14ac:dyDescent="0.2">
      <c r="A48" s="1">
        <v>42735</v>
      </c>
      <c r="B48">
        <v>3134.1</v>
      </c>
      <c r="C48">
        <v>266689.31199999998</v>
      </c>
      <c r="D48">
        <v>252408.636</v>
      </c>
      <c r="E48">
        <v>-20986.958999999999</v>
      </c>
      <c r="F48">
        <v>-38246.877</v>
      </c>
      <c r="G48">
        <v>76198.720000000001</v>
      </c>
      <c r="H48">
        <v>-40931.086000000003</v>
      </c>
      <c r="I48">
        <v>2016</v>
      </c>
      <c r="J48" s="3">
        <f t="shared" si="19"/>
        <v>8.5092789636578274</v>
      </c>
      <c r="K48" s="3">
        <f t="shared" si="20"/>
        <v>8.0536241983344503</v>
      </c>
      <c r="L48" s="3">
        <f t="shared" si="21"/>
        <v>0.55071369771226186</v>
      </c>
      <c r="M48" s="3">
        <f t="shared" si="22"/>
        <v>-1.2203464152388246</v>
      </c>
      <c r="N48" s="3">
        <f t="shared" si="23"/>
        <v>2.4312791551003481</v>
      </c>
      <c r="O48" s="3">
        <f t="shared" si="24"/>
        <v>-1.3059917041574935</v>
      </c>
    </row>
    <row r="49" spans="1:15" x14ac:dyDescent="0.2">
      <c r="A49" s="1">
        <v>43100</v>
      </c>
      <c r="B49">
        <v>3244.99</v>
      </c>
      <c r="C49">
        <v>253883.29500000001</v>
      </c>
      <c r="D49">
        <v>252830.85200000001</v>
      </c>
      <c r="E49">
        <v>-24371.995999999999</v>
      </c>
      <c r="F49">
        <v>-43557.701999999997</v>
      </c>
      <c r="G49">
        <v>75419.159</v>
      </c>
      <c r="H49">
        <v>-49994.722000000002</v>
      </c>
      <c r="I49">
        <v>2017</v>
      </c>
      <c r="J49" s="3">
        <f t="shared" si="19"/>
        <v>7.8238544648827899</v>
      </c>
      <c r="K49" s="3">
        <f t="shared" si="20"/>
        <v>7.7914216068462467</v>
      </c>
      <c r="L49" s="3">
        <f t="shared" si="21"/>
        <v>0.59124083587314591</v>
      </c>
      <c r="M49" s="3">
        <f t="shared" si="22"/>
        <v>-1.3423062012517759</v>
      </c>
      <c r="N49" s="3">
        <f t="shared" si="23"/>
        <v>2.3241723086974075</v>
      </c>
      <c r="O49" s="3">
        <f t="shared" si="24"/>
        <v>-1.540674146915707</v>
      </c>
    </row>
    <row r="50" spans="1:15" x14ac:dyDescent="0.2">
      <c r="A50" s="1">
        <v>43465</v>
      </c>
      <c r="B50">
        <v>3344.37</v>
      </c>
      <c r="C50">
        <v>247471.258</v>
      </c>
      <c r="D50">
        <v>226275.34299999999</v>
      </c>
      <c r="E50">
        <v>-19686.064999999999</v>
      </c>
      <c r="F50">
        <v>-44542.79</v>
      </c>
      <c r="G50">
        <v>89452.828999999998</v>
      </c>
      <c r="H50">
        <v>-48570.855000000003</v>
      </c>
      <c r="I50">
        <v>2018</v>
      </c>
      <c r="J50" s="3">
        <f t="shared" si="19"/>
        <v>7.3996375401047132</v>
      </c>
      <c r="K50" s="3">
        <f t="shared" si="20"/>
        <v>6.7658585323992257</v>
      </c>
      <c r="L50" s="3">
        <f t="shared" si="21"/>
        <v>0.74324087944814732</v>
      </c>
      <c r="M50" s="3">
        <f t="shared" si="22"/>
        <v>-1.3318738656308962</v>
      </c>
      <c r="N50" s="3">
        <f t="shared" si="23"/>
        <v>2.6747288428014842</v>
      </c>
      <c r="O50" s="3">
        <f t="shared" si="24"/>
        <v>-1.4523170283192353</v>
      </c>
    </row>
    <row r="51" spans="1:15" x14ac:dyDescent="0.2">
      <c r="A51" s="1">
        <v>43830</v>
      </c>
      <c r="B51">
        <v>3435.21</v>
      </c>
      <c r="C51">
        <v>243990.57199999999</v>
      </c>
      <c r="D51">
        <v>220993.397</v>
      </c>
      <c r="E51">
        <v>-21703.371999999999</v>
      </c>
      <c r="F51">
        <v>-46098.01</v>
      </c>
      <c r="G51">
        <v>92312.475999999995</v>
      </c>
      <c r="H51">
        <v>-47611.93</v>
      </c>
      <c r="I51">
        <v>2019</v>
      </c>
      <c r="J51" s="3">
        <f t="shared" ref="J51" si="25">C51/$B51/1000*100</f>
        <v>7.1026391981858445</v>
      </c>
      <c r="K51" s="3">
        <f t="shared" ref="K51" si="26">D51/$B51/1000*100</f>
        <v>6.4331844923600014</v>
      </c>
      <c r="L51" s="3">
        <f t="shared" ref="L51" si="27">(E51-F51)/$B51/1000*100</f>
        <v>0.71013527557267253</v>
      </c>
      <c r="M51" s="3">
        <f t="shared" ref="M51" si="28">F51/$B51/1000*100</f>
        <v>-1.3419269855409133</v>
      </c>
      <c r="N51" s="3">
        <f t="shared" ref="N51" si="29">G51/$B51/1000*100</f>
        <v>2.6872440403934545</v>
      </c>
      <c r="O51" s="3">
        <f t="shared" ref="O51" si="30">H51/$B51/1000*100</f>
        <v>-1.3859976537096714</v>
      </c>
    </row>
    <row r="52" spans="1:15" x14ac:dyDescent="0.2">
      <c r="A52" s="1"/>
    </row>
    <row r="53" spans="1:15" x14ac:dyDescent="0.2">
      <c r="A53" s="1"/>
      <c r="J53" t="s">
        <v>61</v>
      </c>
    </row>
    <row r="54" spans="1:15" x14ac:dyDescent="0.2">
      <c r="A54" s="1"/>
    </row>
    <row r="55" spans="1:15" x14ac:dyDescent="0.2">
      <c r="A55" s="1"/>
    </row>
    <row r="56" spans="1:15" x14ac:dyDescent="0.2">
      <c r="A56" s="1"/>
    </row>
    <row r="57" spans="1:15" x14ac:dyDescent="0.2">
      <c r="A57" s="1"/>
    </row>
    <row r="58" spans="1:15" x14ac:dyDescent="0.2">
      <c r="A58" s="1"/>
    </row>
    <row r="59" spans="1:15" x14ac:dyDescent="0.2">
      <c r="A59" s="1"/>
    </row>
    <row r="60" spans="1:15" x14ac:dyDescent="0.2">
      <c r="A60" s="1"/>
    </row>
    <row r="61" spans="1:15" x14ac:dyDescent="0.2">
      <c r="A61" s="1"/>
    </row>
    <row r="62" spans="1:15" x14ac:dyDescent="0.2">
      <c r="A62" s="1"/>
    </row>
    <row r="63" spans="1:15" x14ac:dyDescent="0.2">
      <c r="A63" s="1"/>
    </row>
    <row r="64" spans="1:15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"/>
  <sheetViews>
    <sheetView workbookViewId="0">
      <selection activeCell="P3" sqref="P3"/>
    </sheetView>
  </sheetViews>
  <sheetFormatPr baseColWidth="10" defaultRowHeight="14.25" x14ac:dyDescent="0.2"/>
  <sheetData>
    <row r="1" spans="1:21" x14ac:dyDescent="0.2">
      <c r="B1" t="s">
        <v>29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21" ht="128.25" x14ac:dyDescent="0.2">
      <c r="B2" s="4" t="s">
        <v>0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47</v>
      </c>
      <c r="I2" s="4" t="s">
        <v>25</v>
      </c>
      <c r="J2" s="4" t="s">
        <v>26</v>
      </c>
      <c r="K2" s="4" t="s">
        <v>27</v>
      </c>
      <c r="L2" s="4" t="s">
        <v>1</v>
      </c>
      <c r="M2" s="4"/>
      <c r="O2" t="s">
        <v>48</v>
      </c>
      <c r="P2" t="s">
        <v>54</v>
      </c>
      <c r="Q2" t="s">
        <v>52</v>
      </c>
      <c r="R2" t="s">
        <v>53</v>
      </c>
      <c r="S2" t="s">
        <v>50</v>
      </c>
      <c r="T2" t="s">
        <v>49</v>
      </c>
      <c r="U2" t="s">
        <v>51</v>
      </c>
    </row>
    <row r="3" spans="1:21" x14ac:dyDescent="0.2">
      <c r="A3" s="1">
        <v>33603</v>
      </c>
      <c r="B3">
        <v>1585.8</v>
      </c>
      <c r="C3">
        <v>-1014.8029225400001</v>
      </c>
      <c r="D3">
        <v>1779.82339978</v>
      </c>
      <c r="E3">
        <v>-671.98018232699997</v>
      </c>
      <c r="F3">
        <v>-759.03069285000004</v>
      </c>
      <c r="G3">
        <v>-981.03771800000004</v>
      </c>
      <c r="H3">
        <v>-734.82255614999997</v>
      </c>
      <c r="I3">
        <v>799.95858535800005</v>
      </c>
      <c r="J3">
        <v>-17835.164610420001</v>
      </c>
      <c r="K3">
        <v>-788.96785509999995</v>
      </c>
      <c r="L3">
        <v>-22550.794291900002</v>
      </c>
      <c r="N3">
        <v>1991</v>
      </c>
      <c r="O3">
        <f>L3/B3/1000*100</f>
        <v>-1.4220452952389961</v>
      </c>
      <c r="P3">
        <f>(D3+E3+F3+G3+I3)/B3/1000*100</f>
        <v>1.0577209733951322E-2</v>
      </c>
      <c r="Q3">
        <f>K3/B3/1000*100-P3</f>
        <v>-6.0329250035376474E-2</v>
      </c>
      <c r="R3">
        <f>H3/B3/1000*100</f>
        <v>-4.6337656460461597E-2</v>
      </c>
      <c r="S3">
        <f>C3/B3/1000*100</f>
        <v>-6.3993121613065959E-2</v>
      </c>
      <c r="T3">
        <f>J3/B3/1000*100</f>
        <v>-1.1246793170904277</v>
      </c>
      <c r="U3">
        <f>O3-P3-Q3-R3-S3-T3</f>
        <v>-0.13728315977361571</v>
      </c>
    </row>
    <row r="4" spans="1:21" x14ac:dyDescent="0.2">
      <c r="A4" s="1">
        <v>33969</v>
      </c>
      <c r="B4">
        <v>1702.06</v>
      </c>
      <c r="C4">
        <v>5915.1194122200004</v>
      </c>
      <c r="D4">
        <v>1983.3318846699999</v>
      </c>
      <c r="E4">
        <v>-243.162749319</v>
      </c>
      <c r="F4">
        <v>-1155.3018411600001</v>
      </c>
      <c r="G4">
        <v>738.90982344999998</v>
      </c>
      <c r="H4">
        <v>-3933.44871487</v>
      </c>
      <c r="I4">
        <v>534.806706104</v>
      </c>
      <c r="J4">
        <v>-13315.49112142</v>
      </c>
      <c r="K4">
        <v>-1735.5649519999999</v>
      </c>
      <c r="L4">
        <v>-20141.986777999999</v>
      </c>
      <c r="N4">
        <v>1992</v>
      </c>
      <c r="O4">
        <f t="shared" ref="O4:O29" si="0">L4/B4/1000*100</f>
        <v>-1.1833887629108257</v>
      </c>
      <c r="P4">
        <f t="shared" ref="P4:P29" si="1">(D4+E4+F4+G4+I4)/B4/1000*100</f>
        <v>0.10919614019159135</v>
      </c>
      <c r="Q4">
        <f t="shared" ref="Q4:Q29" si="2">K4/B4/1000*100-P4</f>
        <v>-0.21116463436923491</v>
      </c>
      <c r="R4">
        <f t="shared" ref="R4:R29" si="3">H4/B4/1000*100</f>
        <v>-0.23109929819571579</v>
      </c>
      <c r="S4">
        <f t="shared" ref="S4:S29" si="4">C4/B4/1000*100</f>
        <v>0.34752707966934193</v>
      </c>
      <c r="T4">
        <f t="shared" ref="T4:T29" si="5">J4/B4/1000*100</f>
        <v>-0.78231620045239292</v>
      </c>
      <c r="U4">
        <f t="shared" ref="U4:U29" si="6">O4-P4-Q4-R4-S4-T4</f>
        <v>-0.41553184975441537</v>
      </c>
    </row>
    <row r="5" spans="1:21" x14ac:dyDescent="0.2">
      <c r="A5" s="1">
        <v>34334</v>
      </c>
      <c r="B5">
        <v>1750.89</v>
      </c>
      <c r="C5">
        <v>9366.6392273399997</v>
      </c>
      <c r="D5">
        <v>-1494.0756609699999</v>
      </c>
      <c r="E5">
        <v>-652.73566720999997</v>
      </c>
      <c r="F5">
        <v>-1088.41617114</v>
      </c>
      <c r="G5">
        <v>-1704.3199050999999</v>
      </c>
      <c r="H5">
        <v>-2931.59425921</v>
      </c>
      <c r="I5">
        <v>530.78999708599997</v>
      </c>
      <c r="J5">
        <v>-10992.723805240001</v>
      </c>
      <c r="K5">
        <v>-5431.9577877000002</v>
      </c>
      <c r="L5">
        <v>-18149.219512899999</v>
      </c>
      <c r="N5">
        <v>1993</v>
      </c>
      <c r="O5">
        <f t="shared" si="0"/>
        <v>-1.0365710874412442</v>
      </c>
      <c r="P5">
        <f t="shared" si="1"/>
        <v>-0.25180093594309183</v>
      </c>
      <c r="Q5">
        <f t="shared" si="2"/>
        <v>-5.8438872822735854E-2</v>
      </c>
      <c r="R5">
        <f t="shared" si="3"/>
        <v>-0.16743451954206146</v>
      </c>
      <c r="S5">
        <f t="shared" si="4"/>
        <v>0.53496445963709882</v>
      </c>
      <c r="T5">
        <f t="shared" si="5"/>
        <v>-0.62783634638612362</v>
      </c>
      <c r="U5">
        <f t="shared" si="6"/>
        <v>-0.4660248723843301</v>
      </c>
    </row>
    <row r="6" spans="1:21" x14ac:dyDescent="0.2">
      <c r="A6" s="1">
        <v>34699</v>
      </c>
      <c r="B6">
        <v>1829.55</v>
      </c>
      <c r="C6">
        <v>7339.2682390600003</v>
      </c>
      <c r="D6">
        <v>-1620.6638613800001</v>
      </c>
      <c r="E6">
        <v>-1350.0697913419999</v>
      </c>
      <c r="F6">
        <v>-1426.7548815600001</v>
      </c>
      <c r="G6">
        <v>-3220.2486923699998</v>
      </c>
      <c r="H6">
        <v>-5296.4894699400002</v>
      </c>
      <c r="I6">
        <v>-70.801654541000005</v>
      </c>
      <c r="J6">
        <v>-8417.3961949700006</v>
      </c>
      <c r="K6">
        <v>-7727.691057</v>
      </c>
      <c r="L6">
        <v>-27440.265258200001</v>
      </c>
      <c r="N6">
        <v>1994</v>
      </c>
      <c r="O6">
        <f t="shared" si="0"/>
        <v>-1.4998368592386107</v>
      </c>
      <c r="P6">
        <f t="shared" si="1"/>
        <v>-0.4202420748923506</v>
      </c>
      <c r="Q6">
        <f t="shared" si="2"/>
        <v>-2.1399893857504959E-3</v>
      </c>
      <c r="R6">
        <f t="shared" si="3"/>
        <v>-0.28949684184307622</v>
      </c>
      <c r="S6">
        <f t="shared" si="4"/>
        <v>0.40115155306277506</v>
      </c>
      <c r="T6">
        <f t="shared" si="5"/>
        <v>-0.46008013965018729</v>
      </c>
      <c r="U6">
        <f t="shared" si="6"/>
        <v>-0.72902936653002115</v>
      </c>
    </row>
    <row r="7" spans="1:21" x14ac:dyDescent="0.2">
      <c r="A7" s="1">
        <v>35064</v>
      </c>
      <c r="B7">
        <v>1894.61</v>
      </c>
      <c r="C7">
        <v>7028.7514763600002</v>
      </c>
      <c r="D7">
        <v>-1904.2340080700001</v>
      </c>
      <c r="E7">
        <v>-1116.219712347</v>
      </c>
      <c r="F7">
        <v>-2060.2772224599998</v>
      </c>
      <c r="G7">
        <v>-3229.3614475700001</v>
      </c>
      <c r="H7">
        <v>2087.2217933100001</v>
      </c>
      <c r="I7">
        <v>-215.80965625799999</v>
      </c>
      <c r="J7">
        <v>-9673.2706830400002</v>
      </c>
      <c r="K7">
        <v>-13025.4654034</v>
      </c>
      <c r="L7">
        <v>-23600.546570999999</v>
      </c>
      <c r="N7">
        <v>1995</v>
      </c>
      <c r="O7">
        <f t="shared" si="0"/>
        <v>-1.2456677928966911</v>
      </c>
      <c r="P7">
        <f t="shared" si="1"/>
        <v>-0.45000828913100854</v>
      </c>
      <c r="Q7">
        <f t="shared" si="2"/>
        <v>-0.23749285376383533</v>
      </c>
      <c r="R7">
        <f t="shared" si="3"/>
        <v>0.11016630300220097</v>
      </c>
      <c r="S7">
        <f t="shared" si="4"/>
        <v>0.37098671897435359</v>
      </c>
      <c r="T7">
        <f t="shared" si="5"/>
        <v>-0.51056791017887593</v>
      </c>
      <c r="U7">
        <f t="shared" si="6"/>
        <v>-0.52875176179952577</v>
      </c>
    </row>
    <row r="8" spans="1:21" x14ac:dyDescent="0.2">
      <c r="A8" s="1">
        <v>35430</v>
      </c>
      <c r="B8">
        <v>1921.38</v>
      </c>
      <c r="C8">
        <v>13348.48120747</v>
      </c>
      <c r="D8">
        <v>-2685.5294171800001</v>
      </c>
      <c r="E8">
        <v>-1042.011320002</v>
      </c>
      <c r="F8">
        <v>-2428.1317905999999</v>
      </c>
      <c r="G8">
        <v>-2206.9868035600002</v>
      </c>
      <c r="H8">
        <v>-1954.71078775</v>
      </c>
      <c r="I8">
        <v>-198.94213709799999</v>
      </c>
      <c r="J8">
        <v>-4240.2990034900004</v>
      </c>
      <c r="K8">
        <v>-10130.5793448</v>
      </c>
      <c r="L8">
        <v>-12990.977232200001</v>
      </c>
      <c r="N8">
        <v>1996</v>
      </c>
      <c r="O8">
        <f t="shared" si="0"/>
        <v>-0.67612743091944338</v>
      </c>
      <c r="P8">
        <f t="shared" si="1"/>
        <v>-0.44559647068461222</v>
      </c>
      <c r="Q8">
        <f t="shared" si="2"/>
        <v>-8.1658905388834968E-2</v>
      </c>
      <c r="R8">
        <f t="shared" si="3"/>
        <v>-0.10173473169024347</v>
      </c>
      <c r="S8">
        <f t="shared" si="4"/>
        <v>0.69473405611955996</v>
      </c>
      <c r="T8">
        <f t="shared" si="5"/>
        <v>-0.22069028528921925</v>
      </c>
      <c r="U8">
        <f t="shared" si="6"/>
        <v>-0.52118109398609347</v>
      </c>
    </row>
    <row r="9" spans="1:21" x14ac:dyDescent="0.2">
      <c r="A9" s="1">
        <v>35795</v>
      </c>
      <c r="B9">
        <v>1961.15</v>
      </c>
      <c r="C9">
        <v>17679.740059209998</v>
      </c>
      <c r="D9">
        <v>-1627.6915682900001</v>
      </c>
      <c r="E9">
        <v>-478.10954939800001</v>
      </c>
      <c r="F9">
        <v>-404.68496750999998</v>
      </c>
      <c r="G9">
        <v>-847.2760925</v>
      </c>
      <c r="H9">
        <v>-505.65948982999998</v>
      </c>
      <c r="I9">
        <v>231.51347509799999</v>
      </c>
      <c r="J9">
        <v>-9330.1099788800002</v>
      </c>
      <c r="K9">
        <v>-12301.4295721</v>
      </c>
      <c r="L9">
        <v>-9996.1755367000005</v>
      </c>
      <c r="N9">
        <v>1997</v>
      </c>
      <c r="O9">
        <f t="shared" si="0"/>
        <v>-0.50970989147693957</v>
      </c>
      <c r="P9">
        <f t="shared" si="1"/>
        <v>-0.15940895406266734</v>
      </c>
      <c r="Q9">
        <f t="shared" si="2"/>
        <v>-0.46784697088442995</v>
      </c>
      <c r="R9">
        <f t="shared" si="3"/>
        <v>-2.5783825297911941E-2</v>
      </c>
      <c r="S9">
        <f t="shared" si="4"/>
        <v>0.90149861352828675</v>
      </c>
      <c r="T9">
        <f t="shared" si="5"/>
        <v>-0.47574688212936284</v>
      </c>
      <c r="U9">
        <f t="shared" si="6"/>
        <v>-0.28242187263085433</v>
      </c>
    </row>
    <row r="10" spans="1:21" x14ac:dyDescent="0.2">
      <c r="A10" s="1">
        <v>36160</v>
      </c>
      <c r="B10">
        <v>2014.42</v>
      </c>
      <c r="C10">
        <v>20727.91244638</v>
      </c>
      <c r="D10">
        <v>-290.87395120999997</v>
      </c>
      <c r="E10">
        <v>-70.548565058999998</v>
      </c>
      <c r="F10">
        <v>-3153.1257829199999</v>
      </c>
      <c r="G10">
        <v>1014.44092789</v>
      </c>
      <c r="H10">
        <v>-3196.0482250499999</v>
      </c>
      <c r="I10">
        <v>-1.3380508529999999</v>
      </c>
      <c r="J10">
        <v>-21688.164104240001</v>
      </c>
      <c r="K10">
        <v>-7589.9935065999998</v>
      </c>
      <c r="L10">
        <v>-14314.0891591</v>
      </c>
      <c r="N10">
        <v>1998</v>
      </c>
      <c r="O10">
        <f t="shared" si="0"/>
        <v>-0.71058116773562607</v>
      </c>
      <c r="P10">
        <f t="shared" si="1"/>
        <v>-0.12417695526017415</v>
      </c>
      <c r="Q10">
        <f t="shared" si="2"/>
        <v>-0.25260611413945455</v>
      </c>
      <c r="R10">
        <f t="shared" si="3"/>
        <v>-0.15865848358584603</v>
      </c>
      <c r="S10">
        <f t="shared" si="4"/>
        <v>1.0289767003097667</v>
      </c>
      <c r="T10">
        <f t="shared" si="5"/>
        <v>-1.076645590504463</v>
      </c>
      <c r="U10">
        <f t="shared" si="6"/>
        <v>-0.12747072455545516</v>
      </c>
    </row>
    <row r="11" spans="1:21" x14ac:dyDescent="0.2">
      <c r="A11" s="1">
        <v>36525</v>
      </c>
      <c r="B11">
        <v>2059.48</v>
      </c>
      <c r="C11">
        <v>18271.428</v>
      </c>
      <c r="D11">
        <v>501.95699999999999</v>
      </c>
      <c r="E11">
        <v>147.94</v>
      </c>
      <c r="F11">
        <v>-6983.2250000000004</v>
      </c>
      <c r="G11">
        <v>3971.7620000000002</v>
      </c>
      <c r="H11">
        <v>-8193.7749999999996</v>
      </c>
      <c r="I11">
        <v>619.99699999999996</v>
      </c>
      <c r="J11">
        <v>-22746.675999999999</v>
      </c>
      <c r="K11">
        <v>-5301.3890000000001</v>
      </c>
      <c r="L11">
        <v>-29293.261999999999</v>
      </c>
      <c r="N11">
        <v>1999</v>
      </c>
      <c r="O11">
        <f t="shared" si="0"/>
        <v>-1.422362052556956</v>
      </c>
      <c r="P11">
        <f t="shared" si="1"/>
        <v>-8.4563530599957304E-2</v>
      </c>
      <c r="Q11">
        <f t="shared" si="2"/>
        <v>-0.17285042826344515</v>
      </c>
      <c r="R11">
        <f t="shared" si="3"/>
        <v>-0.39785649775671528</v>
      </c>
      <c r="S11">
        <f t="shared" si="4"/>
        <v>0.88718647425563746</v>
      </c>
      <c r="T11">
        <f t="shared" si="5"/>
        <v>-1.1044863752015073</v>
      </c>
      <c r="U11">
        <f t="shared" si="6"/>
        <v>-0.54979169499096869</v>
      </c>
    </row>
    <row r="12" spans="1:21" x14ac:dyDescent="0.2">
      <c r="A12" s="1">
        <v>36891</v>
      </c>
      <c r="B12">
        <v>2109.09</v>
      </c>
      <c r="C12">
        <v>21019.891</v>
      </c>
      <c r="D12">
        <v>2504.8780000000002</v>
      </c>
      <c r="E12">
        <v>530.01300000000003</v>
      </c>
      <c r="F12">
        <v>-5766.2939999999999</v>
      </c>
      <c r="G12">
        <v>10406.306</v>
      </c>
      <c r="H12">
        <v>-18276.440999999999</v>
      </c>
      <c r="I12">
        <v>1385.578</v>
      </c>
      <c r="J12">
        <v>-33165.555999999997</v>
      </c>
      <c r="K12">
        <v>10893.904</v>
      </c>
      <c r="L12">
        <v>-37146.523000000001</v>
      </c>
      <c r="N12">
        <v>2000</v>
      </c>
      <c r="O12">
        <f t="shared" si="0"/>
        <v>-1.7612583151975496</v>
      </c>
      <c r="P12">
        <f t="shared" si="1"/>
        <v>0.42959195672067102</v>
      </c>
      <c r="Q12">
        <f t="shared" si="2"/>
        <v>8.6929576262748387E-2</v>
      </c>
      <c r="R12">
        <f t="shared" si="3"/>
        <v>-0.8665557657567956</v>
      </c>
      <c r="S12">
        <f t="shared" si="4"/>
        <v>0.99663319251430704</v>
      </c>
      <c r="T12">
        <f t="shared" si="5"/>
        <v>-1.5725054881489169</v>
      </c>
      <c r="U12">
        <f t="shared" si="6"/>
        <v>-0.83535178678956301</v>
      </c>
    </row>
    <row r="13" spans="1:21" x14ac:dyDescent="0.2">
      <c r="A13" s="1">
        <v>37256</v>
      </c>
      <c r="B13">
        <v>2172.54</v>
      </c>
      <c r="C13">
        <v>19220.88</v>
      </c>
      <c r="D13">
        <v>5197.76</v>
      </c>
      <c r="E13">
        <v>1607.5340000000001</v>
      </c>
      <c r="F13">
        <v>-10112.143</v>
      </c>
      <c r="G13">
        <v>11995.093000000001</v>
      </c>
      <c r="H13">
        <v>3453.0749999999998</v>
      </c>
      <c r="I13">
        <v>1017.282</v>
      </c>
      <c r="J13">
        <v>-22766.328000000001</v>
      </c>
      <c r="K13">
        <v>3317.0859999999998</v>
      </c>
      <c r="L13">
        <v>-7995.5680000000002</v>
      </c>
      <c r="N13">
        <v>2001</v>
      </c>
      <c r="O13">
        <f t="shared" si="0"/>
        <v>-0.36802857484787399</v>
      </c>
      <c r="P13">
        <f t="shared" si="1"/>
        <v>0.44673635468161688</v>
      </c>
      <c r="Q13">
        <f t="shared" si="2"/>
        <v>-0.29405396448396803</v>
      </c>
      <c r="R13">
        <f t="shared" si="3"/>
        <v>0.15894183766466899</v>
      </c>
      <c r="S13">
        <f t="shared" si="4"/>
        <v>0.88471926869010487</v>
      </c>
      <c r="T13">
        <f t="shared" si="5"/>
        <v>-1.0479129498191058</v>
      </c>
      <c r="U13">
        <f t="shared" si="6"/>
        <v>-0.51645912158119089</v>
      </c>
    </row>
    <row r="14" spans="1:21" x14ac:dyDescent="0.2">
      <c r="A14" s="1">
        <v>37621</v>
      </c>
      <c r="B14">
        <v>2198.12</v>
      </c>
      <c r="C14">
        <v>31542.720000000001</v>
      </c>
      <c r="D14">
        <v>7478.835</v>
      </c>
      <c r="E14">
        <v>1138.989</v>
      </c>
      <c r="F14">
        <v>-2882.107</v>
      </c>
      <c r="G14">
        <v>13922.271000000001</v>
      </c>
      <c r="H14">
        <v>10416.698</v>
      </c>
      <c r="I14">
        <v>1431.2670000000001</v>
      </c>
      <c r="J14">
        <v>-10811.472</v>
      </c>
      <c r="K14">
        <v>16882.503000000001</v>
      </c>
      <c r="L14">
        <v>41556.675000000003</v>
      </c>
      <c r="N14">
        <v>2002</v>
      </c>
      <c r="O14">
        <f t="shared" si="0"/>
        <v>1.8905553381980971</v>
      </c>
      <c r="P14">
        <f t="shared" si="1"/>
        <v>0.95942237002529451</v>
      </c>
      <c r="Q14">
        <f t="shared" si="2"/>
        <v>-0.19137954251815203</v>
      </c>
      <c r="R14">
        <f t="shared" si="3"/>
        <v>0.47389123432751634</v>
      </c>
      <c r="S14">
        <f t="shared" si="4"/>
        <v>1.4349862609866613</v>
      </c>
      <c r="T14">
        <f t="shared" si="5"/>
        <v>-0.49185085436645865</v>
      </c>
      <c r="U14">
        <f t="shared" si="6"/>
        <v>-0.29451413025676437</v>
      </c>
    </row>
    <row r="15" spans="1:21" x14ac:dyDescent="0.2">
      <c r="A15" s="1">
        <v>37986</v>
      </c>
      <c r="B15">
        <v>2211.5700000000002</v>
      </c>
      <c r="C15">
        <v>24365.665000000001</v>
      </c>
      <c r="D15">
        <v>8655.93</v>
      </c>
      <c r="E15">
        <v>1653.825</v>
      </c>
      <c r="F15">
        <v>-2819.2550000000001</v>
      </c>
      <c r="G15">
        <v>14155.279</v>
      </c>
      <c r="H15">
        <v>11356.749</v>
      </c>
      <c r="I15">
        <v>1562.3140000000001</v>
      </c>
      <c r="J15">
        <v>-13263.957</v>
      </c>
      <c r="K15">
        <v>14429.114</v>
      </c>
      <c r="L15">
        <v>31267.527999999998</v>
      </c>
      <c r="N15">
        <v>2003</v>
      </c>
      <c r="O15">
        <f t="shared" si="0"/>
        <v>1.4138158864517061</v>
      </c>
      <c r="P15">
        <f t="shared" si="1"/>
        <v>1.0493944573312173</v>
      </c>
      <c r="Q15">
        <f t="shared" si="2"/>
        <v>-0.3969568677455384</v>
      </c>
      <c r="R15">
        <f t="shared" si="3"/>
        <v>0.5135152403043991</v>
      </c>
      <c r="S15">
        <f t="shared" si="4"/>
        <v>1.1017360969808776</v>
      </c>
      <c r="T15">
        <f t="shared" si="5"/>
        <v>-0.5997529809140113</v>
      </c>
      <c r="U15">
        <f t="shared" si="6"/>
        <v>-0.25412005950523819</v>
      </c>
    </row>
    <row r="16" spans="1:21" x14ac:dyDescent="0.2">
      <c r="A16" s="1">
        <v>38352</v>
      </c>
      <c r="B16">
        <v>2262.52</v>
      </c>
      <c r="C16">
        <v>47808.603999999999</v>
      </c>
      <c r="D16">
        <v>18537.326000000001</v>
      </c>
      <c r="E16">
        <v>3036.9569999999999</v>
      </c>
      <c r="F16">
        <v>-1228.652</v>
      </c>
      <c r="G16">
        <v>18579.946</v>
      </c>
      <c r="H16">
        <v>18224.087</v>
      </c>
      <c r="I16">
        <v>2402.7280000000001</v>
      </c>
      <c r="J16">
        <v>-16835.555</v>
      </c>
      <c r="K16">
        <v>48158.044999999998</v>
      </c>
      <c r="L16">
        <v>102270.25199999999</v>
      </c>
      <c r="N16">
        <v>2004</v>
      </c>
      <c r="O16">
        <f t="shared" si="0"/>
        <v>4.5201921750967946</v>
      </c>
      <c r="P16">
        <f t="shared" si="1"/>
        <v>1.8266492671887988</v>
      </c>
      <c r="Q16">
        <f t="shared" si="2"/>
        <v>0.30186429291232741</v>
      </c>
      <c r="R16">
        <f t="shared" si="3"/>
        <v>0.80547738804518842</v>
      </c>
      <c r="S16">
        <f t="shared" si="4"/>
        <v>2.1130687905521279</v>
      </c>
      <c r="T16">
        <f t="shared" si="5"/>
        <v>-0.74410635044110107</v>
      </c>
      <c r="U16">
        <f t="shared" si="6"/>
        <v>0.21723878683945308</v>
      </c>
    </row>
    <row r="17" spans="1:21" x14ac:dyDescent="0.2">
      <c r="A17" s="1">
        <v>38717</v>
      </c>
      <c r="B17">
        <v>2288.31</v>
      </c>
      <c r="C17">
        <v>50039.794999999998</v>
      </c>
      <c r="D17">
        <v>22489.911</v>
      </c>
      <c r="E17">
        <v>3321.31</v>
      </c>
      <c r="F17">
        <v>-1385.027</v>
      </c>
      <c r="G17">
        <v>20744.186000000002</v>
      </c>
      <c r="H17">
        <v>14135.583000000001</v>
      </c>
      <c r="I17">
        <v>4184.0739999999996</v>
      </c>
      <c r="J17">
        <v>-23162.296999999999</v>
      </c>
      <c r="K17">
        <v>63854.974000000002</v>
      </c>
      <c r="L17">
        <v>106941.928</v>
      </c>
      <c r="N17">
        <v>2005</v>
      </c>
      <c r="O17">
        <f t="shared" si="0"/>
        <v>4.6734021177200642</v>
      </c>
      <c r="P17">
        <f t="shared" si="1"/>
        <v>2.1568080373725587</v>
      </c>
      <c r="Q17">
        <f t="shared" si="2"/>
        <v>0.63367812927444289</v>
      </c>
      <c r="R17">
        <f t="shared" si="3"/>
        <v>0.61773024633900142</v>
      </c>
      <c r="S17">
        <f t="shared" si="4"/>
        <v>2.1867576945431342</v>
      </c>
      <c r="T17">
        <f t="shared" si="5"/>
        <v>-1.0122010129746406</v>
      </c>
      <c r="U17">
        <f t="shared" si="6"/>
        <v>9.0629023165567535E-2</v>
      </c>
    </row>
    <row r="18" spans="1:21" x14ac:dyDescent="0.2">
      <c r="A18" s="1">
        <v>39082</v>
      </c>
      <c r="B18">
        <v>2385.08</v>
      </c>
      <c r="C18">
        <v>49498.021000000001</v>
      </c>
      <c r="D18">
        <v>25435.714</v>
      </c>
      <c r="E18">
        <v>4297.1319999999996</v>
      </c>
      <c r="F18">
        <v>-3233.5569999999998</v>
      </c>
      <c r="G18">
        <v>21775.41</v>
      </c>
      <c r="H18">
        <v>24885.629000000001</v>
      </c>
      <c r="I18">
        <v>4431.2749999999996</v>
      </c>
      <c r="J18">
        <v>-27605.922999999999</v>
      </c>
      <c r="K18">
        <v>88458.365999999995</v>
      </c>
      <c r="L18">
        <v>137673.93100000001</v>
      </c>
      <c r="N18">
        <v>2006</v>
      </c>
      <c r="O18">
        <f t="shared" si="0"/>
        <v>5.7722982457611494</v>
      </c>
      <c r="P18">
        <f t="shared" si="1"/>
        <v>2.2098199641102183</v>
      </c>
      <c r="Q18">
        <f t="shared" si="2"/>
        <v>1.4990017944890739</v>
      </c>
      <c r="R18">
        <f t="shared" si="3"/>
        <v>1.0433876012544652</v>
      </c>
      <c r="S18">
        <f t="shared" si="4"/>
        <v>2.0753191087929967</v>
      </c>
      <c r="T18">
        <f t="shared" si="5"/>
        <v>-1.1574422241601958</v>
      </c>
      <c r="U18">
        <f t="shared" si="6"/>
        <v>0.10221200127459107</v>
      </c>
    </row>
    <row r="19" spans="1:21" x14ac:dyDescent="0.2">
      <c r="A19" s="1">
        <v>39447</v>
      </c>
      <c r="B19">
        <v>2499.5500000000002</v>
      </c>
      <c r="C19">
        <v>39622.485999999997</v>
      </c>
      <c r="D19">
        <v>31621.616999999998</v>
      </c>
      <c r="E19">
        <v>4710.3810000000003</v>
      </c>
      <c r="F19">
        <v>-261.166</v>
      </c>
      <c r="G19">
        <v>17088.708999999999</v>
      </c>
      <c r="H19">
        <v>34930.455999999998</v>
      </c>
      <c r="I19">
        <v>5503.652</v>
      </c>
      <c r="J19">
        <v>-25068.215</v>
      </c>
      <c r="K19">
        <v>107098.098</v>
      </c>
      <c r="L19">
        <v>171493.196</v>
      </c>
      <c r="N19">
        <v>2007</v>
      </c>
      <c r="O19">
        <f t="shared" si="0"/>
        <v>6.8609628133063953</v>
      </c>
      <c r="P19">
        <f t="shared" si="1"/>
        <v>2.3469501710307852</v>
      </c>
      <c r="Q19">
        <f t="shared" si="2"/>
        <v>1.9377449940989382</v>
      </c>
      <c r="R19">
        <f t="shared" si="3"/>
        <v>1.3974697845612207</v>
      </c>
      <c r="S19">
        <f t="shared" si="4"/>
        <v>1.5851847732591864</v>
      </c>
      <c r="T19">
        <f t="shared" si="5"/>
        <v>-1.0029091236422556</v>
      </c>
      <c r="U19">
        <f t="shared" si="6"/>
        <v>0.59652221399852001</v>
      </c>
    </row>
    <row r="20" spans="1:21" x14ac:dyDescent="0.2">
      <c r="A20" s="1">
        <v>39813</v>
      </c>
      <c r="B20">
        <v>2546.4899999999998</v>
      </c>
      <c r="C20">
        <v>36198.563000000002</v>
      </c>
      <c r="D20">
        <v>25574.924999999999</v>
      </c>
      <c r="E20">
        <v>4940.0780000000004</v>
      </c>
      <c r="F20">
        <v>-106.196</v>
      </c>
      <c r="G20">
        <v>20004.233</v>
      </c>
      <c r="H20">
        <v>31983.562999999998</v>
      </c>
      <c r="I20">
        <v>4844.5349999999999</v>
      </c>
      <c r="J20">
        <v>-18628.228999999999</v>
      </c>
      <c r="K20">
        <v>87448.551000000007</v>
      </c>
      <c r="L20">
        <v>144954.03</v>
      </c>
      <c r="N20">
        <v>2008</v>
      </c>
      <c r="O20">
        <f t="shared" si="0"/>
        <v>5.6923070579503561</v>
      </c>
      <c r="P20">
        <f t="shared" si="1"/>
        <v>2.1699505986671852</v>
      </c>
      <c r="Q20">
        <f t="shared" si="2"/>
        <v>1.2641312551786976</v>
      </c>
      <c r="R20">
        <f t="shared" si="3"/>
        <v>1.2559862006133933</v>
      </c>
      <c r="S20">
        <f t="shared" si="4"/>
        <v>1.4215081543614938</v>
      </c>
      <c r="T20">
        <f t="shared" si="5"/>
        <v>-0.73152570793523641</v>
      </c>
      <c r="U20">
        <f t="shared" si="6"/>
        <v>0.31225655706482258</v>
      </c>
    </row>
    <row r="21" spans="1:21" x14ac:dyDescent="0.2">
      <c r="A21" s="1">
        <v>40178</v>
      </c>
      <c r="B21">
        <v>2445.73</v>
      </c>
      <c r="C21">
        <v>22086.421999999999</v>
      </c>
      <c r="D21">
        <v>11322.609</v>
      </c>
      <c r="E21">
        <v>4157.2529999999997</v>
      </c>
      <c r="F21">
        <v>1039.2090000000001</v>
      </c>
      <c r="G21">
        <v>16391.388999999999</v>
      </c>
      <c r="H21">
        <v>19780.518</v>
      </c>
      <c r="I21">
        <v>3945.1529999999998</v>
      </c>
      <c r="J21">
        <v>-3359.223</v>
      </c>
      <c r="K21">
        <v>92420.267000000007</v>
      </c>
      <c r="L21">
        <v>142744.394</v>
      </c>
      <c r="N21">
        <v>2009</v>
      </c>
      <c r="O21">
        <f t="shared" si="0"/>
        <v>5.8364739362071854</v>
      </c>
      <c r="P21">
        <f t="shared" si="1"/>
        <v>1.5069371108012739</v>
      </c>
      <c r="Q21">
        <f t="shared" si="2"/>
        <v>2.271904666500391</v>
      </c>
      <c r="R21">
        <f t="shared" si="3"/>
        <v>0.80877766556406472</v>
      </c>
      <c r="S21">
        <f t="shared" si="4"/>
        <v>0.90306051771863616</v>
      </c>
      <c r="T21">
        <f t="shared" si="5"/>
        <v>-0.13735052520106469</v>
      </c>
      <c r="U21">
        <f t="shared" si="6"/>
        <v>0.48314450082388438</v>
      </c>
    </row>
    <row r="22" spans="1:21" x14ac:dyDescent="0.2">
      <c r="A22" s="1">
        <v>40543</v>
      </c>
      <c r="B22">
        <v>2564.4</v>
      </c>
      <c r="C22">
        <v>36655.029000000002</v>
      </c>
      <c r="D22">
        <v>12625.521000000001</v>
      </c>
      <c r="E22">
        <v>3242.3850000000002</v>
      </c>
      <c r="F22">
        <v>-240.71199999999999</v>
      </c>
      <c r="G22">
        <v>17919.985000000001</v>
      </c>
      <c r="H22">
        <v>28882.775000000001</v>
      </c>
      <c r="I22">
        <v>4699.1580000000004</v>
      </c>
      <c r="J22">
        <v>-7854.2269999999999</v>
      </c>
      <c r="K22">
        <v>73656.251999999993</v>
      </c>
      <c r="L22">
        <v>147298.45499999999</v>
      </c>
      <c r="N22">
        <v>2010</v>
      </c>
      <c r="O22">
        <f t="shared" si="0"/>
        <v>5.7439734440804866</v>
      </c>
      <c r="P22">
        <f t="shared" si="1"/>
        <v>1.49143413664015</v>
      </c>
      <c r="Q22">
        <f t="shared" si="2"/>
        <v>1.380826509124941</v>
      </c>
      <c r="R22">
        <f t="shared" si="3"/>
        <v>1.1262975744813601</v>
      </c>
      <c r="S22">
        <f t="shared" si="4"/>
        <v>1.4293803228825457</v>
      </c>
      <c r="T22">
        <f t="shared" si="5"/>
        <v>-0.30627932459834656</v>
      </c>
      <c r="U22">
        <f t="shared" si="6"/>
        <v>0.6223142255498364</v>
      </c>
    </row>
    <row r="23" spans="1:21" x14ac:dyDescent="0.2">
      <c r="A23" s="1">
        <v>40908</v>
      </c>
      <c r="B23">
        <v>2693.56</v>
      </c>
      <c r="C23">
        <v>38289.07</v>
      </c>
      <c r="D23">
        <v>11219.501</v>
      </c>
      <c r="E23">
        <v>1654.1679999999999</v>
      </c>
      <c r="F23">
        <v>-1864.973</v>
      </c>
      <c r="G23">
        <v>16641.565999999999</v>
      </c>
      <c r="H23">
        <v>35115.487000000001</v>
      </c>
      <c r="I23">
        <v>3420.94</v>
      </c>
      <c r="J23">
        <v>4976.45</v>
      </c>
      <c r="K23">
        <v>79802.312999999995</v>
      </c>
      <c r="L23">
        <v>167340.31700000001</v>
      </c>
      <c r="N23">
        <v>2011</v>
      </c>
      <c r="O23">
        <f t="shared" si="0"/>
        <v>6.2126077384576543</v>
      </c>
      <c r="P23">
        <f t="shared" si="1"/>
        <v>1.1535366578060262</v>
      </c>
      <c r="Q23">
        <f t="shared" si="2"/>
        <v>1.809171171238064</v>
      </c>
      <c r="R23">
        <f t="shared" si="3"/>
        <v>1.3036831182524244</v>
      </c>
      <c r="S23">
        <f t="shared" si="4"/>
        <v>1.4215042545924352</v>
      </c>
      <c r="T23">
        <f t="shared" si="5"/>
        <v>0.18475363459510835</v>
      </c>
      <c r="U23">
        <f t="shared" si="6"/>
        <v>0.33995890197359607</v>
      </c>
    </row>
    <row r="24" spans="1:21" x14ac:dyDescent="0.2">
      <c r="A24" s="1">
        <v>41274</v>
      </c>
      <c r="B24">
        <v>2745.31</v>
      </c>
      <c r="C24">
        <v>50617.385000000002</v>
      </c>
      <c r="D24">
        <v>5462.6760000000004</v>
      </c>
      <c r="E24">
        <v>1212.0989999999999</v>
      </c>
      <c r="F24">
        <v>-4617.22</v>
      </c>
      <c r="G24">
        <v>8335.2289999999994</v>
      </c>
      <c r="H24">
        <v>40279.595999999998</v>
      </c>
      <c r="I24">
        <v>2051.4830000000002</v>
      </c>
      <c r="J24">
        <v>21404.364000000001</v>
      </c>
      <c r="K24">
        <v>64479.68</v>
      </c>
      <c r="L24">
        <v>195712.20800000001</v>
      </c>
      <c r="N24">
        <v>2012</v>
      </c>
      <c r="O24">
        <f t="shared" si="0"/>
        <v>7.1289656905777488</v>
      </c>
      <c r="P24">
        <f t="shared" si="1"/>
        <v>0.45329186867785426</v>
      </c>
      <c r="Q24">
        <f t="shared" si="2"/>
        <v>1.8954294050580809</v>
      </c>
      <c r="R24">
        <f t="shared" si="3"/>
        <v>1.4672148500533639</v>
      </c>
      <c r="S24">
        <f t="shared" si="4"/>
        <v>1.8437766591022511</v>
      </c>
      <c r="T24">
        <f t="shared" si="5"/>
        <v>0.77967020117946606</v>
      </c>
      <c r="U24">
        <f t="shared" si="6"/>
        <v>0.68958270650673303</v>
      </c>
    </row>
    <row r="25" spans="1:21" x14ac:dyDescent="0.2">
      <c r="A25" s="1">
        <v>41639</v>
      </c>
      <c r="B25">
        <v>2811.35</v>
      </c>
      <c r="C25">
        <v>68508.312999999995</v>
      </c>
      <c r="D25">
        <v>1890.749</v>
      </c>
      <c r="E25">
        <v>689.04899999999998</v>
      </c>
      <c r="F25">
        <v>-5889.84</v>
      </c>
      <c r="G25">
        <v>6565.8019999999997</v>
      </c>
      <c r="H25">
        <v>30086.954000000002</v>
      </c>
      <c r="I25">
        <v>1865.12</v>
      </c>
      <c r="J25">
        <v>25934.273000000001</v>
      </c>
      <c r="K25">
        <v>40858.788</v>
      </c>
      <c r="L25">
        <v>184351.89499999999</v>
      </c>
      <c r="N25">
        <v>2013</v>
      </c>
      <c r="O25">
        <f t="shared" si="0"/>
        <v>6.5574152986999117</v>
      </c>
      <c r="P25">
        <f t="shared" si="1"/>
        <v>0.18215021253134614</v>
      </c>
      <c r="Q25">
        <f t="shared" si="2"/>
        <v>1.2712009532786739</v>
      </c>
      <c r="R25">
        <f t="shared" si="3"/>
        <v>1.0701959556796556</v>
      </c>
      <c r="S25">
        <f t="shared" si="4"/>
        <v>2.4368475287673181</v>
      </c>
      <c r="T25">
        <f t="shared" si="5"/>
        <v>0.9224846781795224</v>
      </c>
      <c r="U25">
        <f t="shared" si="6"/>
        <v>0.67453597026339529</v>
      </c>
    </row>
    <row r="26" spans="1:21" x14ac:dyDescent="0.2">
      <c r="A26" s="1">
        <v>42004</v>
      </c>
      <c r="B26">
        <v>2927.43</v>
      </c>
      <c r="C26">
        <v>80802.869000000006</v>
      </c>
      <c r="D26">
        <v>4481.8339999999998</v>
      </c>
      <c r="E26">
        <v>867.41300000000001</v>
      </c>
      <c r="F26">
        <v>-5211.4949999999999</v>
      </c>
      <c r="G26">
        <v>7932.5349999999999</v>
      </c>
      <c r="H26">
        <v>38518.169000000002</v>
      </c>
      <c r="I26">
        <v>2610.9160000000002</v>
      </c>
      <c r="J26">
        <v>34465.048000000003</v>
      </c>
      <c r="K26">
        <v>44423.525999999998</v>
      </c>
      <c r="L26">
        <v>210906.04</v>
      </c>
      <c r="N26">
        <v>2014</v>
      </c>
      <c r="O26">
        <f t="shared" si="0"/>
        <v>7.2044776476294912</v>
      </c>
      <c r="P26">
        <f t="shared" si="1"/>
        <v>0.36486621370963612</v>
      </c>
      <c r="Q26">
        <f t="shared" si="2"/>
        <v>1.1526261259876409</v>
      </c>
      <c r="R26">
        <f t="shared" si="3"/>
        <v>1.3157673795786748</v>
      </c>
      <c r="S26">
        <f t="shared" si="4"/>
        <v>2.7601981601609604</v>
      </c>
      <c r="T26">
        <f t="shared" si="5"/>
        <v>1.1773141629347246</v>
      </c>
      <c r="U26">
        <f t="shared" si="6"/>
        <v>0.43370560525785451</v>
      </c>
    </row>
    <row r="27" spans="1:21" x14ac:dyDescent="0.2">
      <c r="A27" s="1">
        <v>42369</v>
      </c>
      <c r="B27">
        <v>3030.07</v>
      </c>
      <c r="C27">
        <v>92838.284</v>
      </c>
      <c r="D27">
        <v>5338.5690000000004</v>
      </c>
      <c r="E27">
        <v>950.66399999999999</v>
      </c>
      <c r="F27">
        <v>-6106.2049999999999</v>
      </c>
      <c r="G27">
        <v>12088.089</v>
      </c>
      <c r="H27">
        <v>44751.41</v>
      </c>
      <c r="I27">
        <v>2541.7220000000002</v>
      </c>
      <c r="J27">
        <v>20910.57</v>
      </c>
      <c r="K27">
        <v>82045.585000000006</v>
      </c>
      <c r="L27">
        <v>260285.88399999999</v>
      </c>
      <c r="N27">
        <v>2015</v>
      </c>
      <c r="O27">
        <f t="shared" si="0"/>
        <v>8.5900947502862959</v>
      </c>
      <c r="P27">
        <f t="shared" si="1"/>
        <v>0.48886128043246524</v>
      </c>
      <c r="Q27">
        <f t="shared" si="2"/>
        <v>2.2188512476609454</v>
      </c>
      <c r="R27">
        <f t="shared" si="3"/>
        <v>1.4769101043870274</v>
      </c>
      <c r="S27">
        <f t="shared" si="4"/>
        <v>3.0638989858320103</v>
      </c>
      <c r="T27">
        <f t="shared" si="5"/>
        <v>0.69010187883448226</v>
      </c>
      <c r="U27">
        <f t="shared" si="6"/>
        <v>0.65147125313936638</v>
      </c>
    </row>
    <row r="28" spans="1:21" x14ac:dyDescent="0.2">
      <c r="A28" s="1">
        <v>42735</v>
      </c>
      <c r="B28">
        <v>3134.1</v>
      </c>
      <c r="C28">
        <v>87037.906000000003</v>
      </c>
      <c r="D28">
        <v>4383.13</v>
      </c>
      <c r="E28">
        <v>775.85299999999995</v>
      </c>
      <c r="F28">
        <v>-7195.1419999999998</v>
      </c>
      <c r="G28">
        <v>10578.736000000001</v>
      </c>
      <c r="H28">
        <v>46135.906999999999</v>
      </c>
      <c r="I28">
        <v>1216.43</v>
      </c>
      <c r="J28">
        <v>23626.346000000001</v>
      </c>
      <c r="K28">
        <v>83051.096000000005</v>
      </c>
      <c r="L28">
        <v>266689.31</v>
      </c>
      <c r="N28">
        <v>2016</v>
      </c>
      <c r="O28">
        <f t="shared" si="0"/>
        <v>8.5092788998436557</v>
      </c>
      <c r="P28">
        <f t="shared" si="1"/>
        <v>0.31138148112695835</v>
      </c>
      <c r="Q28">
        <f t="shared" si="2"/>
        <v>2.3385370281739579</v>
      </c>
      <c r="R28">
        <f t="shared" si="3"/>
        <v>1.4720623783542324</v>
      </c>
      <c r="S28">
        <f t="shared" si="4"/>
        <v>2.7771260010848411</v>
      </c>
      <c r="T28">
        <f t="shared" si="5"/>
        <v>0.75384786701126327</v>
      </c>
      <c r="U28">
        <f t="shared" si="6"/>
        <v>0.85632414409240309</v>
      </c>
    </row>
    <row r="29" spans="1:21" x14ac:dyDescent="0.2">
      <c r="A29" s="1">
        <v>43100</v>
      </c>
      <c r="B29">
        <v>3244.99</v>
      </c>
      <c r="C29">
        <v>78810.452000000005</v>
      </c>
      <c r="D29">
        <v>5515.9740000000002</v>
      </c>
      <c r="E29">
        <v>325.59300000000002</v>
      </c>
      <c r="F29">
        <v>-6372.7330000000002</v>
      </c>
      <c r="G29">
        <v>9297.0069999999996</v>
      </c>
      <c r="H29">
        <v>41973.502999999997</v>
      </c>
      <c r="I29">
        <v>1809.527</v>
      </c>
      <c r="J29">
        <v>22385.348000000002</v>
      </c>
      <c r="K29">
        <v>83594.123000000007</v>
      </c>
      <c r="L29">
        <v>253883.296</v>
      </c>
      <c r="N29">
        <v>2017</v>
      </c>
      <c r="O29">
        <f t="shared" si="0"/>
        <v>7.8238544956995257</v>
      </c>
      <c r="P29">
        <f t="shared" si="1"/>
        <v>0.32589832326139684</v>
      </c>
      <c r="Q29">
        <f t="shared" si="2"/>
        <v>2.2501996924489758</v>
      </c>
      <c r="R29">
        <f t="shared" si="3"/>
        <v>1.2934863589718304</v>
      </c>
      <c r="S29">
        <f t="shared" si="4"/>
        <v>2.4286808896175338</v>
      </c>
      <c r="T29">
        <f t="shared" si="5"/>
        <v>0.6898433585311512</v>
      </c>
      <c r="U29">
        <f t="shared" si="6"/>
        <v>0.83574587286863755</v>
      </c>
    </row>
    <row r="30" spans="1:21" x14ac:dyDescent="0.2">
      <c r="A30" s="1">
        <v>43465</v>
      </c>
      <c r="B30">
        <v>3344.37</v>
      </c>
      <c r="C30">
        <v>95928.214000000007</v>
      </c>
      <c r="D30">
        <v>6806.15</v>
      </c>
      <c r="E30">
        <v>517.51400000000001</v>
      </c>
      <c r="F30">
        <v>-7740.0619999999999</v>
      </c>
      <c r="G30">
        <v>12183.123</v>
      </c>
      <c r="H30">
        <v>39379.785000000003</v>
      </c>
      <c r="I30">
        <v>1220.335</v>
      </c>
      <c r="J30">
        <v>21130.098999999998</v>
      </c>
      <c r="K30">
        <v>78879.812000000005</v>
      </c>
      <c r="L30">
        <v>247471.25599999999</v>
      </c>
      <c r="N30">
        <v>2018</v>
      </c>
      <c r="O30">
        <f t="shared" ref="O30" si="7">L30/B30/1000*100</f>
        <v>7.3996374803027178</v>
      </c>
      <c r="P30">
        <f t="shared" ref="P30" si="8">(D30+E30+F30+G30+I30)/B30/1000*100</f>
        <v>0.38832605244036988</v>
      </c>
      <c r="Q30">
        <f t="shared" ref="Q30" si="9">K30/B30/1000*100-P30</f>
        <v>1.9702590323439093</v>
      </c>
      <c r="R30">
        <f t="shared" ref="R30" si="10">H30/B30/1000*100</f>
        <v>1.1774948645036285</v>
      </c>
      <c r="S30">
        <f t="shared" ref="S30" si="11">C30/B30/1000*100</f>
        <v>2.8683493154166557</v>
      </c>
      <c r="T30">
        <f t="shared" ref="T30" si="12">J30/B30/1000*100</f>
        <v>0.631811043634526</v>
      </c>
      <c r="U30">
        <f t="shared" ref="U30" si="13">O30-P30-Q30-R30-S30-T30</f>
        <v>0.36339717196362875</v>
      </c>
    </row>
    <row r="31" spans="1:21" x14ac:dyDescent="0.2">
      <c r="A31" s="1">
        <v>43830</v>
      </c>
      <c r="B31">
        <v>3435.21</v>
      </c>
      <c r="C31">
        <v>97401.407999999996</v>
      </c>
      <c r="D31">
        <v>6707.3819999999996</v>
      </c>
      <c r="E31">
        <v>143.90299999999999</v>
      </c>
      <c r="F31">
        <v>-17692.800999999999</v>
      </c>
      <c r="G31">
        <v>10668.200999999999</v>
      </c>
      <c r="H31">
        <v>38043.023999999998</v>
      </c>
      <c r="I31">
        <v>542.82600000000002</v>
      </c>
      <c r="J31">
        <v>18490.919000000002</v>
      </c>
      <c r="K31">
        <v>75589.626999999993</v>
      </c>
      <c r="L31">
        <v>243990.573</v>
      </c>
      <c r="N31">
        <v>2019</v>
      </c>
      <c r="O31">
        <f t="shared" ref="O31" si="14">L31/B31/1000*100</f>
        <v>7.1026392272961463</v>
      </c>
      <c r="P31">
        <f t="shared" ref="P31" si="15">(D31+E31+F31+G31+I31)/B31/1000*100</f>
        <v>1.0756576744944254E-2</v>
      </c>
      <c r="Q31">
        <f t="shared" ref="Q31" si="16">K31/B31/1000*100-P31</f>
        <v>2.1896802815548391</v>
      </c>
      <c r="R31">
        <f t="shared" ref="R31" si="17">H31/B31/1000*100</f>
        <v>1.1074439117259205</v>
      </c>
      <c r="S31">
        <f t="shared" ref="S31" si="18">C31/B31/1000*100</f>
        <v>2.8353843869807087</v>
      </c>
      <c r="T31">
        <f t="shared" ref="T31" si="19">J31/B31/1000*100</f>
        <v>0.53827623347626496</v>
      </c>
      <c r="U31">
        <f t="shared" ref="U31" si="20">O31-P31-Q31-R31-S31-T31</f>
        <v>0.42109783681346902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1"/>
  <sheetViews>
    <sheetView tabSelected="1" workbookViewId="0">
      <selection activeCell="R2" activeCellId="1" sqref="N2:N31 R2:R31"/>
    </sheetView>
  </sheetViews>
  <sheetFormatPr baseColWidth="10" defaultRowHeight="14.25" x14ac:dyDescent="0.2"/>
  <sheetData>
    <row r="1" spans="1:20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P1" t="s">
        <v>67</v>
      </c>
    </row>
    <row r="2" spans="1:20" x14ac:dyDescent="0.2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0</v>
      </c>
      <c r="J2" t="s">
        <v>62</v>
      </c>
      <c r="K2" t="s">
        <v>18</v>
      </c>
      <c r="L2" t="s">
        <v>64</v>
      </c>
      <c r="M2" t="s">
        <v>63</v>
      </c>
      <c r="N2" t="s">
        <v>19</v>
      </c>
      <c r="P2" t="s">
        <v>68</v>
      </c>
      <c r="Q2" t="s">
        <v>69</v>
      </c>
      <c r="R2" t="s">
        <v>70</v>
      </c>
    </row>
    <row r="3" spans="1:20" x14ac:dyDescent="0.2">
      <c r="A3" s="1">
        <v>33603</v>
      </c>
      <c r="B3">
        <v>76.430000000000007</v>
      </c>
      <c r="C3">
        <v>-50.572000000000003</v>
      </c>
      <c r="D3">
        <v>-54.204999999999998</v>
      </c>
      <c r="E3">
        <v>1.7090000000000001</v>
      </c>
      <c r="F3">
        <v>-26.638000000000002</v>
      </c>
      <c r="G3">
        <v>1585.8</v>
      </c>
      <c r="I3">
        <v>1991</v>
      </c>
      <c r="J3" s="2">
        <f>B3/$G3*100</f>
        <v>4.819649388321352</v>
      </c>
      <c r="K3" s="2">
        <f t="shared" ref="K3:N3" si="0">C3/$G3*100</f>
        <v>-3.1890528439904151</v>
      </c>
      <c r="L3" s="2">
        <f t="shared" si="0"/>
        <v>-3.4181485685458446</v>
      </c>
      <c r="M3" s="2">
        <f t="shared" si="0"/>
        <v>0.10776894942615715</v>
      </c>
      <c r="N3" s="2">
        <f t="shared" si="0"/>
        <v>-1.6797830747887501</v>
      </c>
      <c r="P3">
        <v>25.771999999999998</v>
      </c>
      <c r="Q3">
        <v>24.35</v>
      </c>
      <c r="R3">
        <f>Q3-P3</f>
        <v>-1.421999999999997</v>
      </c>
      <c r="T3">
        <v>1991</v>
      </c>
    </row>
    <row r="4" spans="1:20" x14ac:dyDescent="0.2">
      <c r="A4" s="1">
        <v>33969</v>
      </c>
      <c r="B4">
        <v>79.010000000000005</v>
      </c>
      <c r="C4">
        <v>-44.338999999999999</v>
      </c>
      <c r="D4">
        <v>-61.482999999999997</v>
      </c>
      <c r="E4">
        <v>5.0739999999999998</v>
      </c>
      <c r="F4">
        <v>-21.738</v>
      </c>
      <c r="G4">
        <v>1702.06</v>
      </c>
      <c r="I4">
        <v>1992</v>
      </c>
      <c r="J4" s="2">
        <f t="shared" ref="J4:J29" si="1">B4/$G4*100</f>
        <v>4.6420220203753102</v>
      </c>
      <c r="K4" s="2">
        <f t="shared" ref="K4:K29" si="2">C4/$G4*100</f>
        <v>-2.6050197995370317</v>
      </c>
      <c r="L4" s="2">
        <f t="shared" ref="L4:L29" si="3">D4/$G4*100</f>
        <v>-3.6122698377260494</v>
      </c>
      <c r="M4" s="2">
        <f t="shared" ref="M4:M29" si="4">E4/$G4*100</f>
        <v>0.29810934984665644</v>
      </c>
      <c r="N4" s="2">
        <f t="shared" ref="N4:N29" si="5">F4/$G4*100</f>
        <v>-1.2771582670411148</v>
      </c>
      <c r="P4">
        <v>25.26</v>
      </c>
      <c r="Q4">
        <v>24.077000000000002</v>
      </c>
      <c r="R4">
        <f t="shared" ref="R4:R31" si="6">Q4-P4</f>
        <v>-1.1829999999999998</v>
      </c>
      <c r="T4">
        <f>T3+1</f>
        <v>1992</v>
      </c>
    </row>
    <row r="5" spans="1:20" x14ac:dyDescent="0.2">
      <c r="A5" s="1">
        <v>34334</v>
      </c>
      <c r="B5">
        <v>72.459999999999994</v>
      </c>
      <c r="C5">
        <v>-54.189</v>
      </c>
      <c r="D5">
        <v>-43.44</v>
      </c>
      <c r="E5">
        <v>7.2619999999999996</v>
      </c>
      <c r="F5">
        <v>-17.907</v>
      </c>
      <c r="G5">
        <v>1750.89</v>
      </c>
      <c r="I5">
        <v>1993</v>
      </c>
      <c r="J5" s="2">
        <f t="shared" si="1"/>
        <v>4.1384667226382001</v>
      </c>
      <c r="K5" s="2">
        <f t="shared" si="2"/>
        <v>-3.0949402875109229</v>
      </c>
      <c r="L5" s="2">
        <f t="shared" si="3"/>
        <v>-2.48102393639806</v>
      </c>
      <c r="M5" s="2">
        <f t="shared" si="4"/>
        <v>0.41476049323486908</v>
      </c>
      <c r="N5" s="2">
        <f t="shared" si="5"/>
        <v>-1.0227370080359131</v>
      </c>
      <c r="P5">
        <v>23.939</v>
      </c>
      <c r="Q5">
        <v>22.902000000000001</v>
      </c>
      <c r="R5">
        <f t="shared" si="6"/>
        <v>-1.036999999999999</v>
      </c>
      <c r="T5">
        <f t="shared" ref="T5:T32" si="7">T4+1</f>
        <v>1993</v>
      </c>
    </row>
    <row r="6" spans="1:20" x14ac:dyDescent="0.2">
      <c r="A6" s="1">
        <v>34699</v>
      </c>
      <c r="B6">
        <v>51.84</v>
      </c>
      <c r="C6">
        <v>-46.174999999999997</v>
      </c>
      <c r="D6">
        <v>-33.97</v>
      </c>
      <c r="E6">
        <v>-0.48199999999999998</v>
      </c>
      <c r="F6">
        <v>-28.786999999999999</v>
      </c>
      <c r="G6">
        <v>1829.55</v>
      </c>
      <c r="I6">
        <v>1994</v>
      </c>
      <c r="J6" s="2">
        <f t="shared" si="1"/>
        <v>2.8334836435188984</v>
      </c>
      <c r="K6" s="2">
        <f t="shared" si="2"/>
        <v>-2.5238446612554997</v>
      </c>
      <c r="L6" s="2">
        <f t="shared" si="3"/>
        <v>-1.856740728594463</v>
      </c>
      <c r="M6" s="2">
        <f t="shared" si="4"/>
        <v>-2.6345276160804568E-2</v>
      </c>
      <c r="N6" s="2">
        <f t="shared" si="5"/>
        <v>-1.5734470224918695</v>
      </c>
      <c r="P6">
        <v>24.33</v>
      </c>
      <c r="Q6">
        <v>22.831</v>
      </c>
      <c r="R6">
        <f t="shared" si="6"/>
        <v>-1.4989999999999988</v>
      </c>
      <c r="T6">
        <f t="shared" si="7"/>
        <v>1994</v>
      </c>
    </row>
    <row r="7" spans="1:20" x14ac:dyDescent="0.2">
      <c r="A7" s="1">
        <v>35064</v>
      </c>
      <c r="B7">
        <v>56.79</v>
      </c>
      <c r="C7">
        <v>-178.70400000000001</v>
      </c>
      <c r="D7">
        <v>91.346999999999994</v>
      </c>
      <c r="E7">
        <v>4.577</v>
      </c>
      <c r="F7">
        <v>-25.99</v>
      </c>
      <c r="G7">
        <v>1894.61</v>
      </c>
      <c r="I7" t="s">
        <v>65</v>
      </c>
      <c r="J7" s="2">
        <f t="shared" si="1"/>
        <v>2.9974506626693622</v>
      </c>
      <c r="K7" s="2">
        <f t="shared" si="2"/>
        <v>-9.4322314354933212</v>
      </c>
      <c r="L7" s="2">
        <f t="shared" si="3"/>
        <v>4.8214144335773588</v>
      </c>
      <c r="M7" s="2">
        <f t="shared" si="4"/>
        <v>0.24158006133188364</v>
      </c>
      <c r="N7" s="2">
        <f t="shared" si="5"/>
        <v>-1.3717862779147159</v>
      </c>
      <c r="P7">
        <v>24.327000000000002</v>
      </c>
      <c r="Q7">
        <v>23.081</v>
      </c>
      <c r="R7">
        <f t="shared" si="6"/>
        <v>-1.2460000000000022</v>
      </c>
      <c r="T7">
        <f t="shared" si="7"/>
        <v>1995</v>
      </c>
    </row>
    <row r="8" spans="1:20" x14ac:dyDescent="0.2">
      <c r="A8" s="1">
        <v>35430</v>
      </c>
      <c r="B8">
        <v>61.73</v>
      </c>
      <c r="C8">
        <v>-68.600999999999999</v>
      </c>
      <c r="D8">
        <v>-14.821999999999999</v>
      </c>
      <c r="E8">
        <v>5.806</v>
      </c>
      <c r="F8">
        <v>-15.887</v>
      </c>
      <c r="G8">
        <v>1921.38</v>
      </c>
      <c r="I8">
        <v>1996</v>
      </c>
      <c r="J8" s="2">
        <f t="shared" si="1"/>
        <v>3.2127949702817764</v>
      </c>
      <c r="K8" s="2">
        <f t="shared" si="2"/>
        <v>-3.5704025231864596</v>
      </c>
      <c r="L8" s="2">
        <f t="shared" si="3"/>
        <v>-0.77142470515983297</v>
      </c>
      <c r="M8" s="2">
        <f t="shared" si="4"/>
        <v>0.30217864243408382</v>
      </c>
      <c r="N8" s="2">
        <f t="shared" si="5"/>
        <v>-0.82685361563043214</v>
      </c>
      <c r="P8">
        <v>23.262</v>
      </c>
      <c r="Q8">
        <v>22.585999999999999</v>
      </c>
      <c r="R8">
        <f t="shared" si="6"/>
        <v>-0.67600000000000193</v>
      </c>
      <c r="T8">
        <f t="shared" si="7"/>
        <v>1996</v>
      </c>
    </row>
    <row r="9" spans="1:20" x14ac:dyDescent="0.2">
      <c r="A9" s="1">
        <v>35795</v>
      </c>
      <c r="B9">
        <v>62.82</v>
      </c>
      <c r="C9">
        <v>-57.698999999999998</v>
      </c>
      <c r="D9">
        <v>-16.085000000000001</v>
      </c>
      <c r="E9">
        <v>-0.217</v>
      </c>
      <c r="F9">
        <v>-11.180999999999999</v>
      </c>
      <c r="G9">
        <v>1961.15</v>
      </c>
      <c r="I9">
        <v>1997</v>
      </c>
      <c r="J9" s="2">
        <f t="shared" si="1"/>
        <v>3.2032225989852892</v>
      </c>
      <c r="K9" s="2">
        <f t="shared" si="2"/>
        <v>-2.9421002982943678</v>
      </c>
      <c r="L9" s="2">
        <f t="shared" si="3"/>
        <v>-0.82018203605027673</v>
      </c>
      <c r="M9" s="2">
        <f t="shared" si="4"/>
        <v>-1.1064936389363383E-2</v>
      </c>
      <c r="N9" s="2">
        <f t="shared" si="5"/>
        <v>-0.57012467174871873</v>
      </c>
      <c r="P9">
        <v>23.376000000000001</v>
      </c>
      <c r="Q9">
        <v>22.866</v>
      </c>
      <c r="R9">
        <f t="shared" si="6"/>
        <v>-0.51000000000000156</v>
      </c>
      <c r="T9">
        <f t="shared" si="7"/>
        <v>1997</v>
      </c>
    </row>
    <row r="10" spans="1:20" x14ac:dyDescent="0.2">
      <c r="A10" s="1">
        <v>36160</v>
      </c>
      <c r="B10">
        <v>68.040000000000006</v>
      </c>
      <c r="C10">
        <v>-51.707999999999998</v>
      </c>
      <c r="D10">
        <v>-19.146000000000001</v>
      </c>
      <c r="E10">
        <v>-12.727</v>
      </c>
      <c r="F10">
        <v>-15.541</v>
      </c>
      <c r="G10">
        <v>2014.42</v>
      </c>
      <c r="I10">
        <v>1998</v>
      </c>
      <c r="J10" s="2">
        <f t="shared" si="1"/>
        <v>3.3776471639479353</v>
      </c>
      <c r="K10" s="2">
        <f t="shared" si="2"/>
        <v>-2.5668927036069933</v>
      </c>
      <c r="L10" s="2">
        <f t="shared" si="3"/>
        <v>-0.95044727514619587</v>
      </c>
      <c r="M10" s="2">
        <f t="shared" si="4"/>
        <v>-0.63179475978197197</v>
      </c>
      <c r="N10" s="2">
        <f t="shared" si="5"/>
        <v>-0.77148757458722605</v>
      </c>
      <c r="P10">
        <v>24.02</v>
      </c>
      <c r="Q10">
        <v>23.31</v>
      </c>
      <c r="R10">
        <f t="shared" si="6"/>
        <v>-0.71000000000000085</v>
      </c>
      <c r="T10">
        <f t="shared" si="7"/>
        <v>1998</v>
      </c>
    </row>
    <row r="11" spans="1:20" x14ac:dyDescent="0.2">
      <c r="A11" s="1">
        <v>36525</v>
      </c>
      <c r="B11">
        <v>69.44</v>
      </c>
      <c r="C11">
        <v>-35.406999999999996</v>
      </c>
      <c r="D11">
        <v>-76.603999999999999</v>
      </c>
      <c r="E11">
        <v>12.247</v>
      </c>
      <c r="F11">
        <v>-30.324000000000002</v>
      </c>
      <c r="G11">
        <v>2059.48</v>
      </c>
      <c r="I11">
        <v>1999</v>
      </c>
      <c r="J11" s="2">
        <f t="shared" si="1"/>
        <v>3.371724901431429</v>
      </c>
      <c r="K11" s="2">
        <f t="shared" si="2"/>
        <v>-1.7192203857284361</v>
      </c>
      <c r="L11" s="2">
        <f t="shared" si="3"/>
        <v>-3.7195796997300286</v>
      </c>
      <c r="M11" s="2">
        <f t="shared" si="4"/>
        <v>0.59466467263581102</v>
      </c>
      <c r="N11" s="2">
        <f t="shared" si="5"/>
        <v>-1.4724105113912251</v>
      </c>
      <c r="P11">
        <v>24.003</v>
      </c>
      <c r="Q11">
        <v>22.581</v>
      </c>
      <c r="R11">
        <f t="shared" si="6"/>
        <v>-1.4220000000000006</v>
      </c>
      <c r="T11">
        <f t="shared" si="7"/>
        <v>1999</v>
      </c>
    </row>
    <row r="12" spans="1:20" x14ac:dyDescent="0.2">
      <c r="A12" s="1">
        <v>36891</v>
      </c>
      <c r="B12">
        <v>75.37</v>
      </c>
      <c r="C12">
        <v>-33.421999999999997</v>
      </c>
      <c r="D12">
        <v>-86.388999999999996</v>
      </c>
      <c r="E12">
        <v>3.3980000000000001</v>
      </c>
      <c r="F12">
        <v>-41.042999999999999</v>
      </c>
      <c r="G12">
        <v>2109.09</v>
      </c>
      <c r="I12">
        <v>2000</v>
      </c>
      <c r="J12" s="2">
        <f t="shared" si="1"/>
        <v>3.5735791265427266</v>
      </c>
      <c r="K12" s="2">
        <f t="shared" si="2"/>
        <v>-1.5846644761484809</v>
      </c>
      <c r="L12" s="2">
        <f t="shared" si="3"/>
        <v>-4.0960319379448</v>
      </c>
      <c r="M12" s="2">
        <f t="shared" si="4"/>
        <v>0.16111213841040448</v>
      </c>
      <c r="N12" s="2">
        <f t="shared" si="5"/>
        <v>-1.9460051491401502</v>
      </c>
      <c r="P12">
        <v>24.486999999999998</v>
      </c>
      <c r="Q12">
        <v>22.725999999999999</v>
      </c>
      <c r="R12">
        <f t="shared" si="6"/>
        <v>-1.7609999999999992</v>
      </c>
      <c r="T12">
        <f t="shared" si="7"/>
        <v>2000</v>
      </c>
    </row>
    <row r="13" spans="1:20" x14ac:dyDescent="0.2">
      <c r="A13" s="1">
        <v>37256</v>
      </c>
      <c r="B13">
        <v>97.3</v>
      </c>
      <c r="C13">
        <v>-65.728999999999999</v>
      </c>
      <c r="D13">
        <v>-45.582999999999998</v>
      </c>
      <c r="E13">
        <v>2.9119999999999999</v>
      </c>
      <c r="F13">
        <v>-11.1</v>
      </c>
      <c r="G13">
        <v>2172.54</v>
      </c>
      <c r="I13">
        <v>2001</v>
      </c>
      <c r="J13" s="2">
        <f t="shared" si="1"/>
        <v>4.4786287018881126</v>
      </c>
      <c r="K13" s="2">
        <f t="shared" si="2"/>
        <v>-3.0254448709805115</v>
      </c>
      <c r="L13" s="2">
        <f t="shared" si="3"/>
        <v>-2.0981431872370586</v>
      </c>
      <c r="M13" s="2">
        <f t="shared" si="4"/>
        <v>0.13403665755291042</v>
      </c>
      <c r="N13" s="2">
        <f t="shared" si="5"/>
        <v>-0.51092269877654728</v>
      </c>
      <c r="P13">
        <v>22.96</v>
      </c>
      <c r="Q13">
        <v>22.591999999999999</v>
      </c>
      <c r="R13">
        <f t="shared" si="6"/>
        <v>-0.3680000000000021</v>
      </c>
      <c r="T13">
        <f t="shared" si="7"/>
        <v>2001</v>
      </c>
    </row>
    <row r="14" spans="1:20" x14ac:dyDescent="0.2">
      <c r="A14" s="1">
        <v>37621</v>
      </c>
      <c r="B14">
        <v>101.25</v>
      </c>
      <c r="C14">
        <v>-85.177000000000007</v>
      </c>
      <c r="D14">
        <v>19.338000000000001</v>
      </c>
      <c r="E14">
        <v>1.6459999999999999</v>
      </c>
      <c r="F14">
        <v>37.057000000000002</v>
      </c>
      <c r="G14">
        <v>2198.12</v>
      </c>
      <c r="I14">
        <v>2002</v>
      </c>
      <c r="J14" s="2">
        <f t="shared" si="1"/>
        <v>4.6062089421869601</v>
      </c>
      <c r="K14" s="2">
        <f t="shared" si="2"/>
        <v>-3.8749931759867531</v>
      </c>
      <c r="L14" s="2">
        <f t="shared" si="3"/>
        <v>0.8797517878914709</v>
      </c>
      <c r="M14" s="2">
        <f t="shared" si="4"/>
        <v>7.4882172037923314E-2</v>
      </c>
      <c r="N14" s="2">
        <f t="shared" si="5"/>
        <v>1.6858497261296019</v>
      </c>
      <c r="P14">
        <v>20.776</v>
      </c>
      <c r="Q14">
        <v>22.667000000000002</v>
      </c>
      <c r="R14">
        <f t="shared" si="6"/>
        <v>1.8910000000000018</v>
      </c>
      <c r="T14">
        <f t="shared" si="7"/>
        <v>2002</v>
      </c>
    </row>
    <row r="15" spans="1:20" x14ac:dyDescent="0.2">
      <c r="A15" s="1">
        <v>37986</v>
      </c>
      <c r="B15">
        <v>125.1</v>
      </c>
      <c r="C15">
        <v>-81.921000000000006</v>
      </c>
      <c r="D15">
        <v>-18.556000000000001</v>
      </c>
      <c r="E15">
        <v>12.208</v>
      </c>
      <c r="F15">
        <v>36.831000000000003</v>
      </c>
      <c r="G15">
        <v>2211.5700000000002</v>
      </c>
      <c r="I15">
        <v>2003</v>
      </c>
      <c r="J15" s="2">
        <f t="shared" si="1"/>
        <v>5.6566149839254463</v>
      </c>
      <c r="K15" s="2">
        <f t="shared" si="2"/>
        <v>-3.7042010879149205</v>
      </c>
      <c r="L15" s="2">
        <f t="shared" si="3"/>
        <v>-0.83904194757570405</v>
      </c>
      <c r="M15" s="2">
        <f t="shared" si="4"/>
        <v>0.55200604095732897</v>
      </c>
      <c r="N15" s="2">
        <f t="shared" si="5"/>
        <v>1.6653779893921514</v>
      </c>
      <c r="P15">
        <v>20.437000000000001</v>
      </c>
      <c r="Q15">
        <v>21.850999999999999</v>
      </c>
      <c r="R15">
        <f t="shared" si="6"/>
        <v>1.4139999999999979</v>
      </c>
      <c r="T15">
        <f t="shared" si="7"/>
        <v>2003</v>
      </c>
    </row>
    <row r="16" spans="1:20" x14ac:dyDescent="0.2">
      <c r="A16" s="1">
        <v>38352</v>
      </c>
      <c r="B16">
        <v>133.4</v>
      </c>
      <c r="C16">
        <v>-75.436000000000007</v>
      </c>
      <c r="D16">
        <v>29.282</v>
      </c>
      <c r="E16">
        <v>14.478</v>
      </c>
      <c r="F16">
        <v>101.724</v>
      </c>
      <c r="G16">
        <v>2262.52</v>
      </c>
      <c r="I16">
        <v>2004</v>
      </c>
      <c r="J16" s="2">
        <f t="shared" si="1"/>
        <v>5.896080476636671</v>
      </c>
      <c r="K16" s="2">
        <f t="shared" si="2"/>
        <v>-3.3341583720806893</v>
      </c>
      <c r="L16" s="2">
        <f t="shared" si="3"/>
        <v>1.294220603574775</v>
      </c>
      <c r="M16" s="2">
        <f t="shared" si="4"/>
        <v>0.63990594558280145</v>
      </c>
      <c r="N16" s="2">
        <f t="shared" si="5"/>
        <v>4.4960486537135589</v>
      </c>
      <c r="P16">
        <v>19.838999999999999</v>
      </c>
      <c r="Q16">
        <v>24.359000000000002</v>
      </c>
      <c r="R16">
        <f t="shared" si="6"/>
        <v>4.5200000000000031</v>
      </c>
      <c r="T16">
        <f t="shared" si="7"/>
        <v>2004</v>
      </c>
    </row>
    <row r="17" spans="1:20" x14ac:dyDescent="0.2">
      <c r="A17" s="1">
        <v>38717</v>
      </c>
      <c r="B17">
        <v>144.69999999999999</v>
      </c>
      <c r="C17">
        <v>-75.959000000000003</v>
      </c>
      <c r="D17">
        <v>20.513999999999999</v>
      </c>
      <c r="E17">
        <v>16.027999999999999</v>
      </c>
      <c r="F17">
        <v>105.283</v>
      </c>
      <c r="G17">
        <v>2288.31</v>
      </c>
      <c r="I17">
        <v>2005</v>
      </c>
      <c r="J17" s="2">
        <f t="shared" si="1"/>
        <v>6.3234439389767987</v>
      </c>
      <c r="K17" s="2">
        <f t="shared" si="2"/>
        <v>-3.3194366147943244</v>
      </c>
      <c r="L17" s="2">
        <f t="shared" si="3"/>
        <v>0.89646944688438179</v>
      </c>
      <c r="M17" s="2">
        <f t="shared" si="4"/>
        <v>0.70042957466427191</v>
      </c>
      <c r="N17" s="2">
        <f t="shared" si="5"/>
        <v>4.6009063457311292</v>
      </c>
      <c r="P17">
        <v>19.484999999999999</v>
      </c>
      <c r="Q17">
        <v>24.158999999999999</v>
      </c>
      <c r="R17">
        <f t="shared" si="6"/>
        <v>4.6739999999999995</v>
      </c>
      <c r="T17">
        <f t="shared" si="7"/>
        <v>2005</v>
      </c>
    </row>
    <row r="18" spans="1:20" x14ac:dyDescent="0.2">
      <c r="A18" s="1">
        <v>39082</v>
      </c>
      <c r="B18">
        <v>136.80000000000001</v>
      </c>
      <c r="C18">
        <v>-39.429000000000002</v>
      </c>
      <c r="D18">
        <v>10.933999999999999</v>
      </c>
      <c r="E18">
        <v>29.992000000000001</v>
      </c>
      <c r="F18">
        <v>138.297</v>
      </c>
      <c r="G18">
        <v>2385.08</v>
      </c>
      <c r="I18">
        <v>2006</v>
      </c>
      <c r="J18" s="2">
        <f t="shared" si="1"/>
        <v>5.735656665604508</v>
      </c>
      <c r="K18" s="2">
        <f t="shared" si="2"/>
        <v>-1.6531520955271943</v>
      </c>
      <c r="L18" s="2">
        <f t="shared" si="3"/>
        <v>0.45843326010029012</v>
      </c>
      <c r="M18" s="2">
        <f t="shared" si="4"/>
        <v>1.2574840256930586</v>
      </c>
      <c r="N18" s="2">
        <f t="shared" si="5"/>
        <v>5.7984218558706626</v>
      </c>
      <c r="P18">
        <v>20.571000000000002</v>
      </c>
      <c r="Q18">
        <v>26.343</v>
      </c>
      <c r="R18">
        <f t="shared" si="6"/>
        <v>5.7719999999999985</v>
      </c>
      <c r="T18">
        <f t="shared" si="7"/>
        <v>2006</v>
      </c>
    </row>
    <row r="19" spans="1:20" x14ac:dyDescent="0.2">
      <c r="A19" s="1">
        <v>39447</v>
      </c>
      <c r="B19">
        <v>136.19999999999999</v>
      </c>
      <c r="C19">
        <v>6.5209999999999999</v>
      </c>
      <c r="D19">
        <v>9.4429999999999996</v>
      </c>
      <c r="E19">
        <v>19.736000000000001</v>
      </c>
      <c r="F19">
        <v>171.9</v>
      </c>
      <c r="G19">
        <v>2499.5500000000002</v>
      </c>
      <c r="I19">
        <v>2007</v>
      </c>
      <c r="J19" s="2">
        <f t="shared" si="1"/>
        <v>5.4489808165469782</v>
      </c>
      <c r="K19" s="2">
        <f t="shared" si="2"/>
        <v>0.26088695965273745</v>
      </c>
      <c r="L19" s="2">
        <f t="shared" si="3"/>
        <v>0.37778800184033123</v>
      </c>
      <c r="M19" s="2">
        <f t="shared" si="4"/>
        <v>0.78958212478246093</v>
      </c>
      <c r="N19" s="2">
        <f t="shared" si="5"/>
        <v>6.8772379028225084</v>
      </c>
      <c r="P19">
        <v>21.38</v>
      </c>
      <c r="Q19">
        <v>28.241</v>
      </c>
      <c r="R19">
        <f t="shared" si="6"/>
        <v>6.8610000000000007</v>
      </c>
      <c r="T19">
        <f t="shared" si="7"/>
        <v>2007</v>
      </c>
    </row>
    <row r="20" spans="1:20" x14ac:dyDescent="0.2">
      <c r="A20" s="1">
        <v>39813</v>
      </c>
      <c r="B20">
        <v>137</v>
      </c>
      <c r="C20">
        <v>-2.9630000000000001</v>
      </c>
      <c r="D20">
        <v>-12.37</v>
      </c>
      <c r="E20">
        <v>19.268999999999998</v>
      </c>
      <c r="F20">
        <v>140.93600000000001</v>
      </c>
      <c r="G20">
        <v>2546.4899999999998</v>
      </c>
      <c r="I20">
        <v>2008</v>
      </c>
      <c r="J20" s="2">
        <f t="shared" si="1"/>
        <v>5.3799543685622178</v>
      </c>
      <c r="K20" s="2">
        <f t="shared" si="2"/>
        <v>-0.11635623937262665</v>
      </c>
      <c r="L20" s="2">
        <f t="shared" si="3"/>
        <v>-0.48576668276726009</v>
      </c>
      <c r="M20" s="2">
        <f t="shared" si="4"/>
        <v>0.75668861845127999</v>
      </c>
      <c r="N20" s="2">
        <f t="shared" si="5"/>
        <v>5.534520064873611</v>
      </c>
      <c r="P20">
        <v>21.446000000000002</v>
      </c>
      <c r="Q20">
        <v>27.138000000000002</v>
      </c>
      <c r="R20">
        <f t="shared" si="6"/>
        <v>5.6920000000000002</v>
      </c>
      <c r="T20">
        <f t="shared" si="7"/>
        <v>2008</v>
      </c>
    </row>
    <row r="21" spans="1:20" x14ac:dyDescent="0.2">
      <c r="A21" s="1">
        <v>40178</v>
      </c>
      <c r="B21">
        <v>151.4</v>
      </c>
      <c r="C21">
        <v>-77.052999999999997</v>
      </c>
      <c r="D21">
        <v>69.338999999999999</v>
      </c>
      <c r="E21">
        <v>-0.7</v>
      </c>
      <c r="F21">
        <v>142.98599999999999</v>
      </c>
      <c r="G21">
        <v>2445.73</v>
      </c>
      <c r="I21">
        <v>2009</v>
      </c>
      <c r="J21" s="2">
        <f t="shared" si="1"/>
        <v>6.1903807861047619</v>
      </c>
      <c r="K21" s="2">
        <f t="shared" si="2"/>
        <v>-3.1505112992848758</v>
      </c>
      <c r="L21" s="2">
        <f t="shared" si="3"/>
        <v>2.8351044473429199</v>
      </c>
      <c r="M21" s="2">
        <f t="shared" si="4"/>
        <v>-2.862131142848965E-2</v>
      </c>
      <c r="N21" s="2">
        <f t="shared" si="5"/>
        <v>5.8463526227343161</v>
      </c>
      <c r="P21">
        <v>18.556000000000001</v>
      </c>
      <c r="Q21">
        <v>24.393000000000001</v>
      </c>
      <c r="R21">
        <f t="shared" si="6"/>
        <v>5.8369999999999997</v>
      </c>
      <c r="T21">
        <f t="shared" si="7"/>
        <v>2009</v>
      </c>
    </row>
    <row r="22" spans="1:20" x14ac:dyDescent="0.2">
      <c r="A22" s="1">
        <v>40543</v>
      </c>
      <c r="B22">
        <v>148.6</v>
      </c>
      <c r="C22">
        <v>-112.286</v>
      </c>
      <c r="D22">
        <v>81.441000000000003</v>
      </c>
      <c r="E22">
        <v>32.094999999999999</v>
      </c>
      <c r="F22">
        <v>149.85</v>
      </c>
      <c r="G22">
        <v>2564.4</v>
      </c>
      <c r="I22">
        <v>2010</v>
      </c>
      <c r="J22" s="2">
        <f t="shared" si="1"/>
        <v>5.794727811573857</v>
      </c>
      <c r="K22" s="2">
        <f t="shared" si="2"/>
        <v>-4.3786460770550617</v>
      </c>
      <c r="L22" s="2">
        <f t="shared" si="3"/>
        <v>3.175830603649977</v>
      </c>
      <c r="M22" s="2">
        <f t="shared" si="4"/>
        <v>1.2515598190609889</v>
      </c>
      <c r="N22" s="2">
        <f t="shared" si="5"/>
        <v>5.843472157229761</v>
      </c>
      <c r="P22">
        <v>20.065999999999999</v>
      </c>
      <c r="Q22">
        <v>25.81</v>
      </c>
      <c r="R22">
        <f t="shared" si="6"/>
        <v>5.7439999999999998</v>
      </c>
      <c r="T22">
        <f t="shared" si="7"/>
        <v>2010</v>
      </c>
    </row>
    <row r="23" spans="1:20" x14ac:dyDescent="0.2">
      <c r="A23" s="1">
        <v>40908</v>
      </c>
      <c r="B23">
        <v>126</v>
      </c>
      <c r="C23">
        <v>-23.741</v>
      </c>
      <c r="D23">
        <v>53.295000000000002</v>
      </c>
      <c r="E23">
        <v>7.1959999999999997</v>
      </c>
      <c r="F23">
        <v>162.75</v>
      </c>
      <c r="G23">
        <v>2693.56</v>
      </c>
      <c r="I23">
        <v>2011</v>
      </c>
      <c r="J23" s="2">
        <f t="shared" si="1"/>
        <v>4.6778241435126748</v>
      </c>
      <c r="K23" s="2">
        <f t="shared" si="2"/>
        <v>-0.88139859516773345</v>
      </c>
      <c r="L23" s="2">
        <f t="shared" si="3"/>
        <v>1.9786082359405397</v>
      </c>
      <c r="M23" s="2">
        <f t="shared" si="4"/>
        <v>0.26715573441839052</v>
      </c>
      <c r="N23" s="2">
        <f t="shared" si="5"/>
        <v>6.0421895187038714</v>
      </c>
      <c r="P23">
        <v>21.635000000000002</v>
      </c>
      <c r="Q23">
        <v>27.847999999999999</v>
      </c>
      <c r="R23">
        <f t="shared" si="6"/>
        <v>6.2129999999999974</v>
      </c>
      <c r="T23">
        <f t="shared" si="7"/>
        <v>2011</v>
      </c>
    </row>
    <row r="24" spans="1:20" x14ac:dyDescent="0.2">
      <c r="A24" s="1">
        <v>41274</v>
      </c>
      <c r="B24">
        <v>135.80000000000001</v>
      </c>
      <c r="C24">
        <v>0.25600000000000001</v>
      </c>
      <c r="D24">
        <v>65.536000000000001</v>
      </c>
      <c r="E24">
        <v>-6.851</v>
      </c>
      <c r="F24">
        <v>194.74100000000001</v>
      </c>
      <c r="G24">
        <v>2745.31</v>
      </c>
      <c r="I24">
        <v>2012</v>
      </c>
      <c r="J24" s="2">
        <f t="shared" si="1"/>
        <v>4.9466180504205353</v>
      </c>
      <c r="K24" s="2">
        <f t="shared" si="2"/>
        <v>9.324994262942983E-3</v>
      </c>
      <c r="L24" s="2">
        <f t="shared" si="3"/>
        <v>2.3871985313134036</v>
      </c>
      <c r="M24" s="2">
        <f t="shared" si="4"/>
        <v>-0.24955287381024366</v>
      </c>
      <c r="N24" s="2">
        <f t="shared" si="5"/>
        <v>7.0935887021866391</v>
      </c>
      <c r="P24">
        <v>19.716000000000001</v>
      </c>
      <c r="Q24">
        <v>26.844999999999999</v>
      </c>
      <c r="R24">
        <f t="shared" si="6"/>
        <v>7.1289999999999978</v>
      </c>
      <c r="T24">
        <f t="shared" si="7"/>
        <v>2012</v>
      </c>
    </row>
    <row r="25" spans="1:20" x14ac:dyDescent="0.2">
      <c r="A25" s="1">
        <v>41639</v>
      </c>
      <c r="B25">
        <v>132.9</v>
      </c>
      <c r="C25">
        <v>1.1240000000000001</v>
      </c>
      <c r="D25">
        <v>72.801000000000002</v>
      </c>
      <c r="E25">
        <v>-25.082000000000001</v>
      </c>
      <c r="F25">
        <v>181.74299999999999</v>
      </c>
      <c r="G25">
        <v>2811.35</v>
      </c>
      <c r="I25">
        <v>2013</v>
      </c>
      <c r="J25" s="2">
        <f t="shared" si="1"/>
        <v>4.7272662599818593</v>
      </c>
      <c r="K25" s="2">
        <f t="shared" si="2"/>
        <v>3.9980792146121977E-2</v>
      </c>
      <c r="L25" s="2">
        <f t="shared" si="3"/>
        <v>2.5895388336564285</v>
      </c>
      <c r="M25" s="2">
        <f t="shared" si="4"/>
        <v>-0.8921692425347254</v>
      </c>
      <c r="N25" s="2">
        <f t="shared" si="5"/>
        <v>6.464616643249685</v>
      </c>
      <c r="P25">
        <v>20.053999999999998</v>
      </c>
      <c r="Q25">
        <v>26.611000000000001</v>
      </c>
      <c r="R25">
        <f t="shared" si="6"/>
        <v>6.5570000000000022</v>
      </c>
      <c r="T25">
        <f t="shared" si="7"/>
        <v>2013</v>
      </c>
    </row>
    <row r="26" spans="1:20" x14ac:dyDescent="0.2">
      <c r="A26" s="1">
        <v>42004</v>
      </c>
      <c r="B26">
        <v>143.30000000000001</v>
      </c>
      <c r="C26">
        <v>16.966000000000001</v>
      </c>
      <c r="D26">
        <v>42.75</v>
      </c>
      <c r="E26">
        <v>11.667</v>
      </c>
      <c r="F26">
        <v>214.68299999999999</v>
      </c>
      <c r="G26">
        <v>2927.43</v>
      </c>
      <c r="I26">
        <v>2014</v>
      </c>
      <c r="J26" s="2">
        <f t="shared" si="1"/>
        <v>4.895078618446898</v>
      </c>
      <c r="K26" s="2">
        <f t="shared" si="2"/>
        <v>0.57955271347222659</v>
      </c>
      <c r="L26" s="2">
        <f t="shared" si="3"/>
        <v>1.460325268238694</v>
      </c>
      <c r="M26" s="2">
        <f t="shared" si="4"/>
        <v>0.39854069952142324</v>
      </c>
      <c r="N26" s="2">
        <f t="shared" si="5"/>
        <v>7.3334972996792409</v>
      </c>
      <c r="P26">
        <v>20.37</v>
      </c>
      <c r="Q26">
        <v>27.594000000000001</v>
      </c>
      <c r="R26">
        <f t="shared" si="6"/>
        <v>7.2240000000000002</v>
      </c>
      <c r="T26">
        <f t="shared" si="7"/>
        <v>2014</v>
      </c>
    </row>
    <row r="27" spans="1:20" x14ac:dyDescent="0.2">
      <c r="A27" s="1">
        <v>42369</v>
      </c>
      <c r="B27">
        <v>159.30000000000001</v>
      </c>
      <c r="C27">
        <v>28.58</v>
      </c>
      <c r="D27">
        <v>67.888000000000005</v>
      </c>
      <c r="E27">
        <v>2.907</v>
      </c>
      <c r="F27">
        <v>258.67500000000001</v>
      </c>
      <c r="G27">
        <v>3030.07</v>
      </c>
      <c r="I27">
        <v>2015</v>
      </c>
      <c r="J27" s="2">
        <f t="shared" si="1"/>
        <v>5.2573042866996476</v>
      </c>
      <c r="K27" s="2">
        <f t="shared" si="2"/>
        <v>0.94321253304379093</v>
      </c>
      <c r="L27" s="2">
        <f t="shared" si="3"/>
        <v>2.2404762926269033</v>
      </c>
      <c r="M27" s="2">
        <f t="shared" si="4"/>
        <v>9.593837766124215E-2</v>
      </c>
      <c r="N27" s="2">
        <f t="shared" si="5"/>
        <v>8.5369314900315842</v>
      </c>
      <c r="P27">
        <v>19.742999999999999</v>
      </c>
      <c r="Q27">
        <v>28.327000000000002</v>
      </c>
      <c r="R27">
        <f t="shared" si="6"/>
        <v>8.5840000000000032</v>
      </c>
      <c r="T27">
        <f t="shared" si="7"/>
        <v>2015</v>
      </c>
    </row>
    <row r="28" spans="1:20" x14ac:dyDescent="0.2">
      <c r="A28" s="1">
        <v>42735</v>
      </c>
      <c r="B28">
        <v>163.69999999999999</v>
      </c>
      <c r="C28">
        <v>37.112000000000002</v>
      </c>
      <c r="D28">
        <v>71.406000000000006</v>
      </c>
      <c r="E28">
        <v>-4.1769999999999996</v>
      </c>
      <c r="F28">
        <v>268.041</v>
      </c>
      <c r="G28">
        <v>3134.1</v>
      </c>
      <c r="I28">
        <v>2016</v>
      </c>
      <c r="J28" s="2">
        <f t="shared" si="1"/>
        <v>5.2231900705146614</v>
      </c>
      <c r="K28" s="2">
        <f t="shared" si="2"/>
        <v>1.184135796560416</v>
      </c>
      <c r="L28" s="2">
        <f t="shared" si="3"/>
        <v>2.2783574231836896</v>
      </c>
      <c r="M28" s="2">
        <f t="shared" si="4"/>
        <v>-0.13327590057751826</v>
      </c>
      <c r="N28" s="2">
        <f t="shared" si="5"/>
        <v>8.5524073896812478</v>
      </c>
      <c r="P28">
        <v>19.966999999999999</v>
      </c>
      <c r="Q28">
        <v>28.587</v>
      </c>
      <c r="R28">
        <f t="shared" si="6"/>
        <v>8.620000000000001</v>
      </c>
      <c r="T28">
        <f t="shared" si="7"/>
        <v>2016</v>
      </c>
    </row>
    <row r="29" spans="1:20" x14ac:dyDescent="0.2">
      <c r="A29" s="1">
        <v>43100</v>
      </c>
      <c r="B29">
        <v>176.7</v>
      </c>
      <c r="C29">
        <v>40.295000000000002</v>
      </c>
      <c r="D29">
        <v>54.643000000000001</v>
      </c>
      <c r="E29">
        <v>-10.973000000000001</v>
      </c>
      <c r="F29">
        <v>260.66500000000002</v>
      </c>
      <c r="G29">
        <v>3244.99</v>
      </c>
      <c r="I29">
        <v>2017</v>
      </c>
      <c r="J29" s="2">
        <f t="shared" si="1"/>
        <v>5.4453172428882679</v>
      </c>
      <c r="K29" s="2">
        <f t="shared" si="2"/>
        <v>1.2417603752245769</v>
      </c>
      <c r="L29" s="2">
        <f t="shared" si="3"/>
        <v>1.6839189026776662</v>
      </c>
      <c r="M29" s="2">
        <f t="shared" si="4"/>
        <v>-0.33815204361184475</v>
      </c>
      <c r="N29" s="2">
        <f t="shared" si="5"/>
        <v>8.0328444771786671</v>
      </c>
      <c r="P29">
        <v>20.962</v>
      </c>
      <c r="Q29">
        <v>28.797000000000001</v>
      </c>
      <c r="R29">
        <f t="shared" si="6"/>
        <v>7.8350000000000009</v>
      </c>
      <c r="T29">
        <f t="shared" si="7"/>
        <v>2017</v>
      </c>
    </row>
    <row r="30" spans="1:20" x14ac:dyDescent="0.2">
      <c r="A30" s="1">
        <v>43465</v>
      </c>
      <c r="B30">
        <v>189.1</v>
      </c>
      <c r="C30">
        <v>62.426000000000002</v>
      </c>
      <c r="D30">
        <v>7.4610000000000003</v>
      </c>
      <c r="E30">
        <v>-6.5609999999999999</v>
      </c>
      <c r="F30">
        <v>252.42599999999999</v>
      </c>
      <c r="G30">
        <v>3344.37</v>
      </c>
      <c r="I30">
        <v>2018</v>
      </c>
      <c r="J30" s="2">
        <f t="shared" ref="J30" si="8">B30/$G30*100</f>
        <v>5.654278683279661</v>
      </c>
      <c r="K30" s="2">
        <f t="shared" ref="K30" si="9">C30/$G30*100</f>
        <v>1.8665996884316032</v>
      </c>
      <c r="L30" s="2">
        <f t="shared" ref="L30" si="10">D30/$G30*100</f>
        <v>0.22309134455816793</v>
      </c>
      <c r="M30" s="2">
        <f t="shared" ref="M30" si="11">E30/$G30*100</f>
        <v>-0.1961804465415011</v>
      </c>
      <c r="N30" s="2">
        <f t="shared" ref="N30" si="12">F30/$G30*100</f>
        <v>7.5477892697279305</v>
      </c>
      <c r="P30">
        <v>21.92</v>
      </c>
      <c r="Q30">
        <v>29.870999999999999</v>
      </c>
      <c r="R30">
        <f t="shared" si="6"/>
        <v>7.950999999999997</v>
      </c>
      <c r="T30">
        <f t="shared" si="7"/>
        <v>2018</v>
      </c>
    </row>
    <row r="31" spans="1:20" x14ac:dyDescent="0.2">
      <c r="A31" s="1">
        <v>43830</v>
      </c>
      <c r="B31">
        <v>192.4</v>
      </c>
      <c r="C31">
        <v>50.414999999999999</v>
      </c>
      <c r="D31">
        <v>16.318999999999999</v>
      </c>
      <c r="E31">
        <v>-9.1549999999999994</v>
      </c>
      <c r="F31">
        <v>249.97900000000001</v>
      </c>
      <c r="G31">
        <v>3435.21</v>
      </c>
      <c r="I31">
        <v>2019</v>
      </c>
      <c r="J31" s="2">
        <f t="shared" ref="J31" si="13">B31/$G31*100</f>
        <v>5.6008220749240953</v>
      </c>
      <c r="K31" s="2">
        <f t="shared" ref="K31" si="14">C31/$G31*100</f>
        <v>1.4675958675015501</v>
      </c>
      <c r="L31" s="2">
        <f t="shared" ref="L31" si="15">D31/$G31*100</f>
        <v>0.47505101580398279</v>
      </c>
      <c r="M31" s="2">
        <f t="shared" ref="M31" si="16">E31/$G31*100</f>
        <v>-0.26650481338841003</v>
      </c>
      <c r="N31" s="2">
        <f t="shared" ref="N31" si="17">F31/$G31*100</f>
        <v>7.2769641448412177</v>
      </c>
      <c r="P31">
        <v>21.87</v>
      </c>
      <c r="Q31">
        <v>30.04</v>
      </c>
      <c r="R31">
        <f t="shared" si="6"/>
        <v>8.1699999999999982</v>
      </c>
      <c r="T31">
        <f t="shared" si="7"/>
        <v>2019</v>
      </c>
    </row>
    <row r="32" spans="1:20" x14ac:dyDescent="0.2">
      <c r="A32" s="1"/>
      <c r="P32">
        <v>21.969000000000001</v>
      </c>
      <c r="Q32">
        <v>29.027000000000001</v>
      </c>
      <c r="T32">
        <f t="shared" si="7"/>
        <v>2020</v>
      </c>
    </row>
    <row r="33" spans="1:9" x14ac:dyDescent="0.2">
      <c r="A33" s="1"/>
      <c r="I33" t="s">
        <v>66</v>
      </c>
    </row>
    <row r="34" spans="1:9" x14ac:dyDescent="0.2">
      <c r="A34" s="1"/>
    </row>
    <row r="35" spans="1:9" x14ac:dyDescent="0.2">
      <c r="A35" s="1"/>
    </row>
    <row r="36" spans="1:9" x14ac:dyDescent="0.2">
      <c r="A36" s="1"/>
    </row>
    <row r="37" spans="1:9" x14ac:dyDescent="0.2">
      <c r="A37" s="1"/>
    </row>
    <row r="38" spans="1:9" x14ac:dyDescent="0.2">
      <c r="A38" s="1"/>
    </row>
    <row r="39" spans="1:9" x14ac:dyDescent="0.2">
      <c r="A39" s="1"/>
    </row>
    <row r="40" spans="1:9" x14ac:dyDescent="0.2">
      <c r="A40" s="1"/>
    </row>
    <row r="41" spans="1:9" x14ac:dyDescent="0.2">
      <c r="A41" s="1"/>
    </row>
    <row r="42" spans="1:9" x14ac:dyDescent="0.2">
      <c r="A42" s="1"/>
    </row>
    <row r="43" spans="1:9" x14ac:dyDescent="0.2">
      <c r="A43" s="1"/>
    </row>
    <row r="44" spans="1:9" x14ac:dyDescent="0.2">
      <c r="A44" s="1"/>
    </row>
    <row r="45" spans="1:9" x14ac:dyDescent="0.2">
      <c r="A45" s="1"/>
    </row>
    <row r="46" spans="1:9" x14ac:dyDescent="0.2">
      <c r="A46" s="1"/>
    </row>
    <row r="47" spans="1:9" x14ac:dyDescent="0.2">
      <c r="A47" s="1"/>
    </row>
    <row r="48" spans="1:9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ZIS-XLSHost4 xmlns:xsi="http://www.w3.org/2001/XMLSchema-instance" xmlns:xsd="http://www.w3.org/2001/XMLSchema" xmlns="http://www.bundesbank.de/XLSHost/2011">
  <ZRBereich geholtfuerupdate="false" updateable="true" anzahlKopfUndFehler="2" name="ZRDaten2" aktualisierung="2020-07-14T10:17:01.0355284+02:00" tabelle="Abbildung 3 (data)" letztezelle="G31" internername="xlsHost_ZRDaten2" rangeadresse="='Abbildung 3 (data)'!$A$1:$G$31">
    <Layout>
      <Ausrichtung>Vertikal</Ausrichtung>
      <ZeitvektorFormat>Einspaltig</ZeitvektorFormat>
      <AusgabeZeitvektor>true</AusgabeZeitvektor>
      <DarstellungWerteUngueltig>LeereZellen</DarstellungWerteUngueltig>
      <AusgabeGesperrteWerte>Gesperrt</AusgabeGesperrteWerte>
      <WerteFuerSumme>FlagsVerwenden</WerteFuerSumme>
      <Sortierung>Aufsteigend</Sortierung>
      <BereichUeberschreiben>NichtUeberschreiben</BereichUeberschreiben>
      <DruckDatumEineSpaltig>false</DruckDatumEineSpaltig>
    </Layout>
    <Standard>
      <UeberschriftArt>false</UeberschriftArt>
      <Zeitraum>
        <Zeitraum>alle Werte</Zeitraum>
        <Anzahl/>
      </Zeitraum>
      <ZeitraumUpdate>
        <Zeitraum>alle Werte</Zeitraum>
        <Anzahl/>
      </ZeitraumUpdate>
      <Datenquelle>ZISDB</Datenquelle>
      <Anzeige>true</Anzeige>
      <ZusatzAttribut/>
      <Bestandteile>
        <int>0</int>
      </Bestandteile>
      <ErwBestandteile/>
      <ErwBestandteileNichtAngezeigt/>
      <AusgabeAttribute>
        <int>0</int>
        <int>1</int>
      </AusgabeAttribute>
      <ErwAttribute/>
      <ErwAttributeNichtAngezeigt/>
      <UmrechnungArt>AusZeitreihe</UmrechnungArt>
      <UmrechnungPeriode>Jahre</UmrechnungPeriode>
      <Einzeltransformation/>
      <Rundung>-1</Rundung>
    </Standard>
    <Zeitreihen attributeAusStandard="true">
      <Anzeige>true</Anzeige>
      <Kennung>BBNZ1:Q:DE:N:G:0330:A</Kennung>
    </Zeitreihen>
    <Zeitreihen attributeAusStandard="true">
      <Anzeige>true</Anzeige>
      <Kennung>BBNZ1:Q:DE:N:G:0519:A</Kennung>
    </Zeitreihen>
    <Zeitreihen attributeAusStandard="true">
      <Anzeige>true</Anzeige>
      <Kennung>BBNZ1:A:DE:N:G:0561:A</Kennung>
    </Zeitreihen>
    <Zeitreihen attributeAusStandard="true">
      <Anzeige>true</Anzeige>
      <Kennung>BBNZ1:A:DE:N:G:0596:A</Kennung>
    </Zeitreihen>
    <Zeitreihen attributeAusStandard="true">
      <Anzeige>true</Anzeige>
      <Kennung>BBNZ1:Q:DE:N:G:0232:A</Kennung>
    </Zeitreihen>
    <Zeitreihen attributeAusStandard="true">
      <Anzeige>true</Anzeige>
      <Kennung>BBNZ1:A:DE:N:G:0000:A</Kennung>
    </Zeitreihen>
    <Zeitraum>
      <Beobachtungen>1</Beobachtungen>
    </Zeitraum>
  </ZRBereich>
  <ZRBereich geholtfuerupdate="false" updateable="true" anzahlKopfUndFehler="2" name="ZRDaten1" aktualisierung="2020-07-14T10:16:58.0286589+02:00" tabelle="Abbildung 1 (data)" letztezelle="H51" internername="xlsHost_ZRDaten1" rangeadresse="='Abbildung 1 (data)'!$A$1:$H$51">
    <Layout>
      <Ausrichtung>Vertikal</Ausrichtung>
      <ZeitvektorFormat>Einspaltig</ZeitvektorFormat>
      <AusgabeZeitvektor>true</AusgabeZeitvektor>
      <DarstellungWerteUngueltig>LeereZellen</DarstellungWerteUngueltig>
      <AusgabeGesperrteWerte>Gesperrt</AusgabeGesperrteWerte>
      <WerteFuerSumme>FlagsVerwenden</WerteFuerSumme>
      <Sortierung>Aufsteigend</Sortierung>
      <BereichUeberschreiben>NichtUeberschreiben</BereichUeberschreiben>
      <DruckDatumEineSpaltig>false</DruckDatumEineSpaltig>
    </Layout>
    <Standard>
      <UeberschriftArt>false</UeberschriftArt>
      <Zeitraum>
        <Zeitraum>1971-</Zeitraum>
        <Anzahl/>
      </Zeitraum>
      <ZeitraumUpdate>
        <Zeitraum>alle Werte</Zeitraum>
        <Anzahl/>
      </ZeitraumUpdate>
      <Datenquelle>ZISDB</Datenquelle>
      <Anzeige>true</Anzeige>
      <ZusatzAttribut/>
      <Bestandteile>
        <int>0</int>
      </Bestandteile>
      <ErwBestandteile/>
      <ErwBestandteileNichtAngezeigt/>
      <AusgabeAttribute>
        <int>0</int>
        <int>1</int>
      </AusgabeAttribute>
      <ErwAttribute/>
      <ErwAttributeNichtAngezeigt/>
      <UmrechnungArt>AusZeitreihe</UmrechnungArt>
      <UmrechnungPeriode>Jahre</UmrechnungPeriode>
      <Einzeltransformation/>
      <Rundung>-1</Rundung>
    </Standard>
    <Zeitreihen attributeAusStandard="true">
      <Anzeige>true</Anzeige>
      <Kennung>BBNZ1.A.DE.N.G.0000.L!EE!</Kennung>
    </Zeitreihen>
    <Zeitreihen attributeAusStandard="true">
      <Anzeige>true</Anzeige>
      <Kennung>BBFBA.M.N.DE.W1.S1.S1.T.B.CA._Z._Z._Z._T._X.N!EE!</Kennung>
    </Zeitreihen>
    <Zeitreihen attributeAusStandard="true">
      <Anzeige>true</Anzeige>
      <Kennung>BBFBA.M.N.DE.W1.S1.S1.T.B.G._Z._Z._Z._T._X.N!EE!</Kennung>
    </Zeitreihen>
    <Zeitreihen attributeAusStandard="true">
      <Anzeige>true</Anzeige>
      <Kennung>BBFBA.M.N.DE.W1.S1.S1.T.B.S._Z._Z._Z._T._X.N!EE!</Kennung>
    </Zeitreihen>
    <Zeitreihen attributeAusStandard="true">
      <Anzeige>true</Anzeige>
      <Kennung>BBFBA.M.N.DE.W1.S1.S1.T.B.SD._Z._Z._Z._T._X.N!EE!</Kennung>
    </Zeitreihen>
    <Zeitreihen attributeAusStandard="true">
      <Anzeige>true</Anzeige>
      <Kennung>BBFBA.M.N.DE.W1.S1.S1.T.B.IN1._Z._Z._Z._T._X.N!EE!</Kennung>
    </Zeitreihen>
    <Zeitreihen attributeAusStandard="true">
      <Anzeige>true</Anzeige>
      <Kennung>BBFBA.M.N.DE.W1.S1.S1.T.B.IN2._Z._Z._Z._T._X.N!EE!</Kennung>
    </Zeitreihen>
    <Zeitraum>
      <Beobachtungen>1</Beobachtungen>
    </Zeitraum>
  </ZRBereich>
  <ZRBereich geholtfuerupdate="false" updateable="true" anzahlKopfUndFehler="2" name="ZRDaten3" aktualisierung="2020-07-14T10:17:03.5017618+02:00" tabelle="Abbildung 2 (data)" letztezelle="L31" internername="xlsHost_ZRDaten3" rangeadresse="='Abbildung 2 (data)'!$A$1:$L$31">
    <Layout>
      <Ausrichtung>Vertikal</Ausrichtung>
      <ZeitvektorFormat>Einspaltig</ZeitvektorFormat>
      <AusgabeZeitvektor>true</AusgabeZeitvektor>
      <DarstellungWerteUngueltig>LeereZellen</DarstellungWerteUngueltig>
      <AusgabeGesperrteWerte>Gesperrt</AusgabeGesperrteWerte>
      <WerteFuerSumme>FlagsVerwenden</WerteFuerSumme>
      <Sortierung>Aufsteigend</Sortierung>
      <BereichUeberschreiben>NichtUeberschreiben</BereichUeberschreiben>
      <DruckDatumEineSpaltig>false</DruckDatumEineSpaltig>
    </Layout>
    <Standard>
      <UeberschriftArt>false</UeberschriftArt>
      <Zeitraum>
        <Zeitraum>1991-</Zeitraum>
        <Anzahl/>
      </Zeitraum>
      <ZeitraumUpdate>
        <Zeitraum>alle Werte</Zeitraum>
        <Anzahl/>
      </ZeitraumUpdate>
      <Datenquelle>ZISDB</Datenquelle>
      <Anzeige>true</Anzeige>
      <ZusatzAttribut/>
      <Bestandteile>
        <int>0</int>
      </Bestandteile>
      <ErwBestandteile/>
      <ErwBestandteileNichtAngezeigt/>
      <AusgabeAttribute>
        <int>0</int>
        <int>1</int>
      </AusgabeAttribute>
      <ErwAttribute/>
      <ErwAttributeNichtAngezeigt/>
      <UmrechnungArt>AusZeitreihe</UmrechnungArt>
      <UmrechnungPeriode>Jahre</UmrechnungPeriode>
      <Einzeltransformation/>
      <Rundung>-1</Rundung>
    </Standard>
    <Zeitreihen attributeAusStandard="true">
      <Anzeige>true</Anzeige>
      <Kennung>BBNZ1:Q:DE:N:G:0000:A!EE!</Kennung>
    </Zeitreihen>
    <Zeitreihen attributeAusStandard="true">
      <Anzeige>true</Anzeige>
      <Kennung>BBFBA.Q.N.DE.A1.S1.S1.T.B.CA._Z._Z._Z._T._X.N!EE!</Kennung>
    </Zeitreihen>
    <Zeitreihen attributeAusStandard="true">
      <Anzeige>true</Anzeige>
      <Kennung>BBFBA.Q.N.DE.ES.S1.S1.T.B.CA._Z._Z._Z._T._X.N!EE!</Kennung>
    </Zeitreihen>
    <Zeitreihen attributeAusStandard="true">
      <Anzeige>true</Anzeige>
      <Kennung>BBFBA.Q.N.DE.GR.S1.S1.T.B.CA._Z._Z._Z._T._X.N!EE!</Kennung>
    </Zeitreihen>
    <Zeitreihen attributeAusStandard="true">
      <Anzeige>true</Anzeige>
      <Kennung>BBFBA.Q.N.DE.IE.S1.S1.T.B.CA._Z._Z._Z._T._X.N!EE!</Kennung>
    </Zeitreihen>
    <Zeitreihen attributeAusStandard="true">
      <Anzeige>true</Anzeige>
      <Kennung>BBFBA.Q.N.DE.IT.S1.S1.T.B.CA._Z._Z._Z._T._X.N!EE!</Kennung>
    </Zeitreihen>
    <Zeitreihen attributeAusStandard="true">
      <Anzeige>true</Anzeige>
      <Kennung>BBFBA.Q.N.DE.K9.S1.S1.T.B.CA._Z._Z._Z._T._X.N!EE!</Kennung>
    </Zeitreihen>
    <Zeitreihen attributeAusStandard="true">
      <Anzeige>true</Anzeige>
      <Kennung>BBFBA.Q.N.DE.PT.S1.S1.T.B.CA._Z._Z._Z._T._X.N!EE!</Kennung>
    </Zeitreihen>
    <Zeitreihen attributeAusStandard="true">
      <Anzeige>true</Anzeige>
      <Kennung>BBFBA.Q.N.DE.S1.S1.S1.T.B.CA._Z._Z._Z._T._X.N!EE!</Kennung>
    </Zeitreihen>
    <Zeitreihen attributeAusStandard="true">
      <Anzeige>true</Anzeige>
      <Kennung>BBFBA.Q.N.DE.I8.S1.S1.T.B.CA._Z._Z._Z._T._X.N!EE!</Kennung>
    </Zeitreihen>
    <Zeitreihen attributeAusStandard="true">
      <Anzeige>true</Anzeige>
      <Kennung>BBFBA.Q.N.DE.W1.S1.S1.T.B.CA._Z._Z._Z._T._X.N!EE!</Kennung>
    </Zeitreihen>
    <Zeitraum>
      <Beobachtungen>1</Beobachtungen>
    </Zeitraum>
  </ZRBereich>
</ZIS-XLSHost4>
</file>

<file path=customXml/itemProps1.xml><?xml version="1.0" encoding="utf-8"?>
<ds:datastoreItem xmlns:ds="http://schemas.openxmlformats.org/officeDocument/2006/customXml" ds:itemID="{006C76F4-9BF4-42F2-9B0C-DD8CB0145EBC}">
  <ds:schemaRefs>
    <ds:schemaRef ds:uri="http://www.w3.org/2001/XMLSchema"/>
    <ds:schemaRef ds:uri="http://www.bundesbank.de/XLSHost/20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Arbeitsblätter</vt:lpstr>
      </vt:variant>
      <vt:variant>
        <vt:i4>3</vt:i4>
      </vt:variant>
      <vt:variant>
        <vt:lpstr>Diagramme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9" baseType="lpstr">
      <vt:lpstr>Abbildung 1 (data)</vt:lpstr>
      <vt:lpstr>Abbildung 2 (data)</vt:lpstr>
      <vt:lpstr>Abbildung 3 (data)</vt:lpstr>
      <vt:lpstr>Abbildung 1</vt:lpstr>
      <vt:lpstr>Abbildung 2</vt:lpstr>
      <vt:lpstr>Abbildung 3</vt:lpstr>
      <vt:lpstr>xlsHost_ZRDaten1</vt:lpstr>
      <vt:lpstr>xlsHost_ZRDaten2</vt:lpstr>
      <vt:lpstr>xlsHost_ZRDaten3</vt:lpstr>
    </vt:vector>
  </TitlesOfParts>
  <Company>Deutsche Bundesbank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Nagengast</dc:creator>
  <cp:lastModifiedBy>Merkl, Christian</cp:lastModifiedBy>
  <dcterms:created xsi:type="dcterms:W3CDTF">2018-08-06T07:24:51Z</dcterms:created>
  <dcterms:modified xsi:type="dcterms:W3CDTF">2024-04-04T13:36:50Z</dcterms:modified>
</cp:coreProperties>
</file>